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edwingonzalez/Downloads/"/>
    </mc:Choice>
  </mc:AlternateContent>
  <xr:revisionPtr revIDLastSave="0" documentId="13_ncr:1_{0EBA80EC-5C62-B44C-ADE8-2F238FB0EAB5}" xr6:coauthVersionLast="47" xr6:coauthVersionMax="47" xr10:uidLastSave="{00000000-0000-0000-0000-000000000000}"/>
  <bookViews>
    <workbookView xWindow="0" yWindow="600" windowWidth="37340" windowHeight="19340" tabRatio="635" xr2:uid="{00000000-000D-0000-FFFF-FFFF00000000}"/>
  </bookViews>
  <sheets>
    <sheet name="Julio 2026" sheetId="12" r:id="rId1"/>
    <sheet name="Descansos Médicos " sheetId="27" r:id="rId2"/>
    <sheet name="Vacaciones" sheetId="22" r:id="rId3"/>
    <sheet name="Hoja1" sheetId="25" state="hidden" r:id="rId4"/>
    <sheet name="Com. Sentinel" sheetId="13" r:id="rId5"/>
    <sheet name="RH" sheetId="23" state="hidden" r:id="rId6"/>
  </sheets>
  <definedNames>
    <definedName name="_xlnm._FilterDatabase" localSheetId="1" hidden="1">'Descansos Médicos '!$A$1:$R$4</definedName>
    <definedName name="_xlnm._FilterDatabase" localSheetId="0" hidden="1">'Julio 2026'!$A$8:$AK$29</definedName>
    <definedName name="_xlnm._FilterDatabase" localSheetId="5" hidden="1">RH!$A$2:$Q$2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60" i="12" l="1"/>
  <c r="C3" i="13"/>
  <c r="E29" i="25" l="1"/>
  <c r="F29" i="25"/>
  <c r="D29" i="25"/>
  <c r="G28" i="25"/>
  <c r="G29" i="25" s="1"/>
  <c r="O18" i="23" l="1"/>
  <c r="K18" i="23"/>
  <c r="J18" i="23"/>
  <c r="I18" i="23"/>
  <c r="N17" i="23"/>
  <c r="M17" i="23" s="1"/>
  <c r="H17" i="23"/>
  <c r="N16" i="23"/>
  <c r="M16" i="23" s="1"/>
  <c r="H16" i="23"/>
  <c r="N15" i="23"/>
  <c r="M15" i="23" s="1"/>
  <c r="H15" i="23"/>
  <c r="N14" i="23"/>
  <c r="M14" i="23" s="1"/>
  <c r="H14" i="23"/>
  <c r="N13" i="23"/>
  <c r="M13" i="23" s="1"/>
  <c r="H13" i="23"/>
  <c r="N12" i="23"/>
  <c r="M12" i="23" s="1"/>
  <c r="H12" i="23"/>
  <c r="N11" i="23"/>
  <c r="M11" i="23" s="1"/>
  <c r="H11" i="23"/>
  <c r="N10" i="23"/>
  <c r="M10" i="23" s="1"/>
  <c r="H10" i="23"/>
  <c r="N9" i="23"/>
  <c r="M9" i="23" s="1"/>
  <c r="H9" i="23"/>
  <c r="N8" i="23"/>
  <c r="M8" i="23" s="1"/>
  <c r="H8" i="23"/>
  <c r="N7" i="23"/>
  <c r="M7" i="23" s="1"/>
  <c r="H7" i="23"/>
  <c r="N6" i="23"/>
  <c r="M6" i="23" s="1"/>
  <c r="H6" i="23"/>
  <c r="N5" i="23"/>
  <c r="M5" i="23" s="1"/>
  <c r="H5" i="23"/>
  <c r="N4" i="23"/>
  <c r="M4" i="23" s="1"/>
  <c r="H4" i="23"/>
  <c r="N3" i="23"/>
  <c r="M3" i="23" s="1"/>
  <c r="H3" i="23"/>
  <c r="P10" i="23" l="1"/>
  <c r="P14" i="23"/>
  <c r="Q4" i="23"/>
  <c r="Q8" i="23"/>
  <c r="P6" i="23"/>
  <c r="Q12" i="23"/>
  <c r="M18" i="23"/>
  <c r="Q16" i="23"/>
  <c r="H18" i="23"/>
  <c r="P5" i="23"/>
  <c r="P7" i="23"/>
  <c r="P9" i="23"/>
  <c r="P11" i="23"/>
  <c r="P13" i="23"/>
  <c r="P15" i="23"/>
  <c r="P17" i="23"/>
  <c r="Q6" i="23"/>
  <c r="Q10" i="23"/>
  <c r="Q14" i="23"/>
  <c r="P4" i="23"/>
  <c r="P8" i="23"/>
  <c r="P12" i="23"/>
  <c r="P16" i="23"/>
  <c r="Q5" i="23"/>
  <c r="Q9" i="23"/>
  <c r="Q13" i="23"/>
  <c r="Q17" i="23"/>
  <c r="N18" i="23"/>
  <c r="Q3" i="23"/>
  <c r="Q7" i="23"/>
  <c r="Q11" i="23"/>
  <c r="Q15" i="23"/>
  <c r="P3" i="23"/>
  <c r="P18" i="23" l="1"/>
  <c r="Q1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GIOPER</author>
    <author>cuart</author>
    <author>Edwin Gonzalez</author>
    <author>user</author>
  </authors>
  <commentList>
    <comment ref="Q8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GIOPER: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Informar a Roxana todo dentro del mes.</t>
        </r>
      </text>
    </comment>
    <comment ref="R8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GIOPER: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Informar a Roxana todo dentro del mes.</t>
        </r>
      </text>
    </comment>
    <comment ref="S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GIOPER:</t>
        </r>
        <r>
          <rPr>
            <sz val="9"/>
            <color indexed="81"/>
            <rFont val="Tahoma"/>
            <family val="2"/>
          </rPr>
          <t xml:space="preserve">
Informar a Roxana todo dentro del mes.</t>
        </r>
      </text>
    </comment>
    <comment ref="U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GIOPER:</t>
        </r>
        <r>
          <rPr>
            <sz val="9"/>
            <color indexed="81"/>
            <rFont val="Tahoma"/>
            <family val="2"/>
          </rPr>
          <t xml:space="preserve">
Informar a Roxana todo dentro del mes.</t>
        </r>
      </text>
    </comment>
    <comment ref="H9" authorId="1" shapeId="0" xr:uid="{268B8EDB-A91B-304B-BBA5-C5FDECB4730B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0" authorId="1" shapeId="0" xr:uid="{2A3CEC72-3A8F-1D43-B4A1-005699376771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1" authorId="1" shapeId="0" xr:uid="{DF6AA709-8AAC-7A40-81F8-C50EA9A9998F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2" authorId="1" shapeId="0" xr:uid="{2E49BFA1-9D47-4040-8FC2-5FC57E75DDC9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3" authorId="1" shapeId="0" xr:uid="{46C135BA-078A-3142-95F6-C9FAB202B34B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4" authorId="1" shapeId="0" xr:uid="{49159894-17CA-D84F-8629-3ACD03026894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5" authorId="1" shapeId="0" xr:uid="{D9112001-1928-4545-8842-200736195A05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R15" authorId="2" shapeId="0" xr:uid="{BF123934-8D01-684C-8031-B11FD7F07D06}">
      <text>
        <r>
          <rPr>
            <b/>
            <sz val="10"/>
            <color rgb="FF000000"/>
            <rFont val="Tahoma"/>
            <family val="2"/>
          </rPr>
          <t>Edwin Gonzalez: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20/07/26
</t>
        </r>
      </text>
    </comment>
    <comment ref="H16" authorId="1" shapeId="0" xr:uid="{2E2BBE9B-E23C-9A4D-AED4-E058193F84E2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7" authorId="1" shapeId="0" xr:uid="{586CA193-FF35-CC4B-B7F7-0821E764F8C8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Q17" authorId="2" shapeId="0" xr:uid="{E4B6FC6F-F8B6-5A4D-9109-56242A395806}">
      <text>
        <r>
          <rPr>
            <b/>
            <sz val="10"/>
            <color rgb="FF000000"/>
            <rFont val="Tahoma"/>
            <family val="2"/>
          </rPr>
          <t>Edwin Gonzalez: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Del 01/07/2026 al 15/07/2026
</t>
        </r>
      </text>
    </comment>
    <comment ref="H18" authorId="1" shapeId="0" xr:uid="{3DEE6727-2BDF-5942-B6E6-D0529ED62232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19" authorId="1" shapeId="0" xr:uid="{0CA8E832-D533-D441-8F5D-435376743BB9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0" authorId="1" shapeId="0" xr:uid="{FE2E2391-2E8D-1441-905A-E9A40768AB1C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T20" authorId="3" shapeId="0" xr:uid="{B5331496-46FF-4E73-B9A8-A97D43ECB914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hora de lactancia de todos los dias de 12:00 pm a 1:00 pm</t>
        </r>
      </text>
    </comment>
    <comment ref="H21" authorId="1" shapeId="0" xr:uid="{12D86003-CB1D-7643-ADF2-D53D8BF57EBE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2" authorId="1" shapeId="0" xr:uid="{7F8815B5-20A5-394A-B15F-897E44AE08BF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3" authorId="1" shapeId="0" xr:uid="{833931FB-5C5C-3048-A62A-0E40C0297223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4" authorId="1" shapeId="0" xr:uid="{180C15A5-8EAB-8047-8B2F-447AD79C0E50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5" authorId="1" shapeId="0" xr:uid="{F8E6C34C-CEB9-5C44-89D9-D7DFE1C51A63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6" authorId="1" shapeId="0" xr:uid="{88E21FB8-E5AD-604F-B5B3-1420A85A33FC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7" authorId="1" shapeId="0" xr:uid="{225F5FC9-5A4B-1041-B32B-2A1885864409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8" authorId="1" shapeId="0" xr:uid="{C9907830-B999-CB41-AA7F-ED0181689DEE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29" authorId="1" shapeId="0" xr:uid="{1653A7E2-DE10-DF49-9DEB-41867FD90D88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0" authorId="1" shapeId="0" xr:uid="{EB1FAEE0-829E-D040-A70B-ED4CC689798F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1" authorId="1" shapeId="0" xr:uid="{702B2040-C800-414B-A4A7-9676D51A9DB3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3" authorId="1" shapeId="0" xr:uid="{0F8CDCF2-432A-5D4E-A01C-8EC4ABC13A86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4" authorId="1" shapeId="0" xr:uid="{D9E3586A-3A74-0E4B-9A5F-F8E30577B55B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6" authorId="1" shapeId="0" xr:uid="{E0183F98-9F79-4148-AC85-FBAA91FE7204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7" authorId="1" shapeId="0" xr:uid="{01F93BD6-4778-3D47-BC94-476ADBBAC53F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8" authorId="1" shapeId="0" xr:uid="{AB4FD363-6527-F64D-99CB-20E7736D3F1B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39" authorId="1" shapeId="0" xr:uid="{938EE0D9-2252-BF45-8251-A9017D210FD3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0" authorId="1" shapeId="0" xr:uid="{26EA388B-BF2A-B14A-86CD-74F86C0DBFD0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1" authorId="1" shapeId="0" xr:uid="{A097B2F7-65E2-8545-BA50-16D470E3FF0B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2" authorId="1" shapeId="0" xr:uid="{EDC96DBC-9828-6A42-BCC3-AD0D764BFF1C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3" authorId="1" shapeId="0" xr:uid="{2CF5640E-BA15-B44B-AED9-58FDDE07F81A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6" authorId="1" shapeId="0" xr:uid="{630D1C44-BE14-6242-B23C-70F6DE6003E6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7" authorId="1" shapeId="0" xr:uid="{6B38D3BF-C4B6-BA42-9C4E-0A505853D2C1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49" authorId="1" shapeId="0" xr:uid="{3407B0DE-1339-B94A-B445-6F4444BA56C0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0" authorId="1" shapeId="0" xr:uid="{7A42FAE8-26B5-2D40-8434-6A7A2F7B3039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1" authorId="1" shapeId="0" xr:uid="{0A1E5E67-C935-3943-A5D2-EB8B86781EAE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2" authorId="1" shapeId="0" xr:uid="{0A2C4E27-C789-824E-94A5-6E99DF52B478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3" authorId="1" shapeId="0" xr:uid="{86A6167B-9AA0-1E45-B4CF-211EBF4664AF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4" authorId="1" shapeId="0" xr:uid="{3B3066DE-C22E-F043-97CB-2EA708839448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  <comment ref="H57" authorId="1" shapeId="0" xr:uid="{C94371AB-A76E-BF4E-B225-B275A576D390}">
      <text>
        <r>
          <rPr>
            <b/>
            <sz val="9"/>
            <color rgb="FF000000"/>
            <rFont val="Tahoma"/>
            <family val="2"/>
          </rPr>
          <t>RRHH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FERIADO: Jueves 23, 28 y 29 de Julio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Fecha de ingreso 15 abril
Pago de sueldo  por no tener RUC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cambio a full time mar-2021</t>
        </r>
      </text>
    </comment>
  </commentList>
</comments>
</file>

<file path=xl/sharedStrings.xml><?xml version="1.0" encoding="utf-8"?>
<sst xmlns="http://schemas.openxmlformats.org/spreadsheetml/2006/main" count="675" uniqueCount="315">
  <si>
    <t>Ingresos Egresos para pago de Planilla</t>
  </si>
  <si>
    <t>Código</t>
  </si>
  <si>
    <t>Cargo</t>
  </si>
  <si>
    <t>Fecha Ingreso</t>
  </si>
  <si>
    <t>Apellidos y Nombres</t>
  </si>
  <si>
    <t>Faltas</t>
  </si>
  <si>
    <t>Adelanto Planilla</t>
  </si>
  <si>
    <t>Otros</t>
  </si>
  <si>
    <t>Comisiones</t>
  </si>
  <si>
    <t>Incremento de Sueldo</t>
  </si>
  <si>
    <t>Perez Peralta Edith Giovanna</t>
  </si>
  <si>
    <t>Efectos en la Remuneración</t>
  </si>
  <si>
    <t>Baja de Sueldo</t>
  </si>
  <si>
    <t>Descanso Médico</t>
  </si>
  <si>
    <t>Suspensión</t>
  </si>
  <si>
    <t>Vacaciones Gozadas</t>
  </si>
  <si>
    <t>Licencia por Paternidad</t>
  </si>
  <si>
    <t>Dias Feriados</t>
  </si>
  <si>
    <t>Sabados del Mes</t>
  </si>
  <si>
    <t>Domingos del Mes</t>
  </si>
  <si>
    <t>Licencia con Goce de Haber</t>
  </si>
  <si>
    <t>Total Días efectivamente Trabajados</t>
  </si>
  <si>
    <t>Total Horas Trabajadas del Mes</t>
  </si>
  <si>
    <t>Castillo Vergara Diego Alonso</t>
  </si>
  <si>
    <t>NOMBRE</t>
  </si>
  <si>
    <t>Básico</t>
  </si>
  <si>
    <t>Bono</t>
  </si>
  <si>
    <t>Situación Laboral</t>
  </si>
  <si>
    <t>LBS</t>
  </si>
  <si>
    <t>Revisar Prestamos</t>
  </si>
  <si>
    <t>Licencia sin goce de haber</t>
  </si>
  <si>
    <t>Licencia por paternidad</t>
  </si>
  <si>
    <t>Abandono de Trabajo</t>
  </si>
  <si>
    <t>Gavidia Herrera Juan Slider</t>
  </si>
  <si>
    <t>Alarcón  Prado Jhoseline</t>
  </si>
  <si>
    <t>EQUIPO</t>
  </si>
  <si>
    <t xml:space="preserve">Guevara Saldaña Rodolfo Wagner </t>
  </si>
  <si>
    <t>Licencia con goce de haber</t>
  </si>
  <si>
    <t>Poma Inamine Pattsy Silvia</t>
  </si>
  <si>
    <t>DNI</t>
  </si>
  <si>
    <t>Curi Meza Wilmer Luy</t>
  </si>
  <si>
    <t>Aguilar Gamero Alma Rosa</t>
  </si>
  <si>
    <t>Movistar</t>
  </si>
  <si>
    <t>Cordano Cajas Anghello Victoriano</t>
  </si>
  <si>
    <t>Sono Alvan Grecia Antonella</t>
  </si>
  <si>
    <t>Pérez Vergara Nicole Andrea</t>
  </si>
  <si>
    <t>Gutierrez Torres Jhon Alexander</t>
  </si>
  <si>
    <t>Ramirez Poma Wilmer Hammerly</t>
  </si>
  <si>
    <t>Rodriguez Matos Omar Jose</t>
  </si>
  <si>
    <t>Martel Uribe Omar Ubet</t>
  </si>
  <si>
    <t>Acuña Santafe Emily Yairiana</t>
  </si>
  <si>
    <t>Rodriguez Cuadros Carlos Alberto</t>
  </si>
  <si>
    <t>Gutierrez Navarrete Javier Enrique</t>
  </si>
  <si>
    <t>Sueldo</t>
  </si>
  <si>
    <t>Comisión</t>
  </si>
  <si>
    <t>Dias Trabajados</t>
  </si>
  <si>
    <t>Adelantos</t>
  </si>
  <si>
    <t>Total a Emitir</t>
  </si>
  <si>
    <t>Total a Pagar</t>
  </si>
  <si>
    <t>Lista Figueroa Patricia Lucimar</t>
  </si>
  <si>
    <t>Rengifo Silva Joselyn Nathaly</t>
  </si>
  <si>
    <t>Gonzalez Martinez Patricia Carolina</t>
  </si>
  <si>
    <t>Vásquez  Navarro Carla Lisset</t>
  </si>
  <si>
    <t>Cubas Velasquez Carlos Enrique</t>
  </si>
  <si>
    <t>Galarreta Yupanqui Jhonny</t>
  </si>
  <si>
    <t>Gil Pingo Karol</t>
  </si>
  <si>
    <t>003119880</t>
  </si>
  <si>
    <t>002271282</t>
  </si>
  <si>
    <t>003526667</t>
  </si>
  <si>
    <t>001722522</t>
  </si>
  <si>
    <t>002784816</t>
  </si>
  <si>
    <t>076247711</t>
  </si>
  <si>
    <t>047819758</t>
  </si>
  <si>
    <t>044818200</t>
  </si>
  <si>
    <t>046243236</t>
  </si>
  <si>
    <t>043826476</t>
  </si>
  <si>
    <t>075477351</t>
  </si>
  <si>
    <t>073264228</t>
  </si>
  <si>
    <t>045632071</t>
  </si>
  <si>
    <t>047798918</t>
  </si>
  <si>
    <t>070448945</t>
  </si>
  <si>
    <t>Días falta</t>
  </si>
  <si>
    <t>Monto Falta</t>
  </si>
  <si>
    <t>correo Electronico</t>
  </si>
  <si>
    <t>emilyasantafe@gmail.com</t>
  </si>
  <si>
    <t>wramirez140@gmail.com</t>
  </si>
  <si>
    <t>omarjoserodriguezmatos@gmail.com</t>
  </si>
  <si>
    <t>patylistafigueroa@gmail.com</t>
  </si>
  <si>
    <t>joselyn921@hotmail.com</t>
  </si>
  <si>
    <t>j.gutierrez.16@outlook.com</t>
  </si>
  <si>
    <t>javiergnpa@gmail.com</t>
  </si>
  <si>
    <t>carlitos.0214@hotmail.com</t>
  </si>
  <si>
    <t>pati_gm02@hotmail.com</t>
  </si>
  <si>
    <t>omar.ubet.martel@gmail.com</t>
  </si>
  <si>
    <t>vasqueznavarrolisset@gmail.com</t>
  </si>
  <si>
    <t>carlos.cubas.velasquez@gmail.com</t>
  </si>
  <si>
    <t>jhonnygalarreta62@gmail.com</t>
  </si>
  <si>
    <t>ppoma@senticorp.pe</t>
  </si>
  <si>
    <t>Línea Telefónica</t>
  </si>
  <si>
    <t>Karito_09_2010@hotmail.com</t>
  </si>
  <si>
    <t>Gil Pingo Karol Lizeth</t>
  </si>
  <si>
    <t>Garcia  Valdeiglesias Alex</t>
  </si>
  <si>
    <t>Fecha
Inicio</t>
  </si>
  <si>
    <t>Total gozado</t>
  </si>
  <si>
    <t>BONO</t>
  </si>
  <si>
    <t>Vacaciones - Colocar los días pdtes. de goce - Revisar hoja de vacaciones</t>
  </si>
  <si>
    <t xml:space="preserve">Sistema Pensionario </t>
  </si>
  <si>
    <t>Sotelo Pillco Kiara Leyla Ana</t>
  </si>
  <si>
    <t>Silva Olivari Elexander Anthony</t>
  </si>
  <si>
    <t>Rojas  Hinostroza Mijael Elvis</t>
  </si>
  <si>
    <t>LINEA   CELULAR</t>
  </si>
  <si>
    <t>OTROS</t>
  </si>
  <si>
    <t>MONTO TOTAL</t>
  </si>
  <si>
    <t>Valencia  Hernández Cristian Ernesto</t>
  </si>
  <si>
    <t>Grau  Valdez Asley Michael</t>
  </si>
  <si>
    <t>Barrantes Huerta Angella Karonlay</t>
  </si>
  <si>
    <t>Garcia Monles Maria Jose</t>
  </si>
  <si>
    <t>Fecha
Fin</t>
  </si>
  <si>
    <t>9:00am</t>
  </si>
  <si>
    <t>9:30am</t>
  </si>
  <si>
    <t>9:45am</t>
  </si>
  <si>
    <t>10:00am</t>
  </si>
  <si>
    <t>Hora</t>
  </si>
  <si>
    <t>FIRMA</t>
  </si>
  <si>
    <t xml:space="preserve">Cambio de documento </t>
  </si>
  <si>
    <t>Refrigerio no principal</t>
  </si>
  <si>
    <t>FECHA OCURRENCIA</t>
  </si>
  <si>
    <t>NOMBRE Y APELLIDO</t>
  </si>
  <si>
    <t>ÁREA</t>
  </si>
  <si>
    <t>MOTIVO</t>
  </si>
  <si>
    <t>SUB MOTIVO</t>
  </si>
  <si>
    <t>FECHA DE INICIO</t>
  </si>
  <si>
    <t>FECHA DE FIN</t>
  </si>
  <si>
    <t>N° DIAS</t>
  </si>
  <si>
    <t>SUSTENTO</t>
  </si>
  <si>
    <t>OBSERVACIONES</t>
  </si>
  <si>
    <t>Compra de vacaciones</t>
  </si>
  <si>
    <t>Condición</t>
  </si>
  <si>
    <t>Cajeado</t>
  </si>
  <si>
    <t>Fecha de Canje</t>
  </si>
  <si>
    <t>EXPEDIENTE O NIT</t>
  </si>
  <si>
    <t>Activo</t>
  </si>
  <si>
    <t>U.N.</t>
  </si>
  <si>
    <t>Diagnostico / Enfermedad</t>
  </si>
  <si>
    <t>Licencia por Maternidad</t>
  </si>
  <si>
    <t>Bono Por Objetivo</t>
  </si>
  <si>
    <t>Bono de ingreso</t>
  </si>
  <si>
    <t>Licencia por lactancia</t>
  </si>
  <si>
    <t>Aguinaldo</t>
  </si>
  <si>
    <t>Programacion Limite</t>
  </si>
  <si>
    <t>Total de días pendientes</t>
  </si>
  <si>
    <t>Programación de vacaciones</t>
  </si>
  <si>
    <t>Pdte de Goce</t>
  </si>
  <si>
    <t>Licencia por maternidad</t>
  </si>
  <si>
    <t xml:space="preserve">Nombre y Apellido </t>
  </si>
  <si>
    <t>Comision</t>
  </si>
  <si>
    <t>Total</t>
  </si>
  <si>
    <t>Pattsy Silvia Poma Inamine</t>
  </si>
  <si>
    <t>Javier Hilario Salibet</t>
  </si>
  <si>
    <t>Molina Lovera Francelis Lorena</t>
  </si>
  <si>
    <t>Salas Gutierrez Selina Larissa</t>
  </si>
  <si>
    <t>Narvaez Gonzales Cruz Yargelis</t>
  </si>
  <si>
    <t>Contreras Daza Marshall Josheling</t>
  </si>
  <si>
    <t>Rondoy Vela Fiorela Gumercinda</t>
  </si>
  <si>
    <t>Administrador de Ventas</t>
  </si>
  <si>
    <t>Ascarza Delgado Fiorella</t>
  </si>
  <si>
    <t>Malotocorp SAC</t>
  </si>
  <si>
    <t>Tardanzas</t>
  </si>
  <si>
    <t>Otros2</t>
  </si>
  <si>
    <t>Seguro Privado</t>
  </si>
  <si>
    <t>Romero Colmenares Michelle Nakary</t>
  </si>
  <si>
    <t>Gonzalez Castro Edwin Leonel</t>
  </si>
  <si>
    <t>Basurco Calderon Claudia Rosa Natividad</t>
  </si>
  <si>
    <t>Coordinador general</t>
  </si>
  <si>
    <t>INGRESOS</t>
  </si>
  <si>
    <t>EGRESOS</t>
  </si>
  <si>
    <t>Préstamo</t>
  </si>
  <si>
    <t>Diaz Del Castillo Marco Antonio</t>
  </si>
  <si>
    <t>Directora Comercial</t>
  </si>
  <si>
    <t>Cesado</t>
  </si>
  <si>
    <t>COMENTARIO</t>
  </si>
  <si>
    <t>Linares Pita  Mariana Isabel</t>
  </si>
  <si>
    <t>Peralta Portocarrero Pedro Nicolas</t>
  </si>
  <si>
    <t>Asesor de de ventas Senior</t>
  </si>
  <si>
    <t>Asesor de Ventas Senior</t>
  </si>
  <si>
    <t>Supervisor de ventas Junior</t>
  </si>
  <si>
    <t>Asesor de fidelización Junior</t>
  </si>
  <si>
    <t>Vasquez Mesias Emma Maryori</t>
  </si>
  <si>
    <t>Asesor de Fidelización Junior</t>
  </si>
  <si>
    <t>Licencia sin Goce de Haber por hora</t>
  </si>
  <si>
    <t>Periodo 2023 - 2024</t>
  </si>
  <si>
    <t>Periodo 2024 - 2025</t>
  </si>
  <si>
    <t>Santillán Quiñones Gustavo Adrián</t>
  </si>
  <si>
    <t>Licencia sin Goce de Haber por día</t>
  </si>
  <si>
    <t>Pérdida de bebe</t>
  </si>
  <si>
    <t>Comercial</t>
  </si>
  <si>
    <t>CE003311808</t>
  </si>
  <si>
    <t>Si</t>
  </si>
  <si>
    <t>CE003902797</t>
  </si>
  <si>
    <t>CE002952921</t>
  </si>
  <si>
    <t>Administrativo</t>
  </si>
  <si>
    <t>Paralisis Facial</t>
  </si>
  <si>
    <t>Paralisis facial</t>
  </si>
  <si>
    <t xml:space="preserve">Actualizado en cuadro de vacaciones </t>
  </si>
  <si>
    <t>Supervisor de ventas Senior</t>
  </si>
  <si>
    <t>Asesor de Ventas Master</t>
  </si>
  <si>
    <t>Directora General</t>
  </si>
  <si>
    <t>Palacios Morales Elvis Fernando</t>
  </si>
  <si>
    <t>Asesor de ventas Junior</t>
  </si>
  <si>
    <t>Condición de trabajo</t>
  </si>
  <si>
    <t>Licencia con Goce de Haber por hora</t>
  </si>
  <si>
    <t>Yangali Urquizo Robel Daen</t>
  </si>
  <si>
    <t>Reyes Fernandez Bania Ines</t>
  </si>
  <si>
    <t>De la cruz Lavalle Gino David</t>
  </si>
  <si>
    <t>Berrocal Gilbonio Yoselyn Karol</t>
  </si>
  <si>
    <t>Puican Miranda de Martinez Norita Glent</t>
  </si>
  <si>
    <t>Analista de Recursos Humanos</t>
  </si>
  <si>
    <t>Quiñones Huertas Yulissa Vilma</t>
  </si>
  <si>
    <t xml:space="preserve">Comercial </t>
  </si>
  <si>
    <t>Traumatismos de hombro y Esguince de hombro</t>
  </si>
  <si>
    <t>48039335</t>
  </si>
  <si>
    <t>Gestante</t>
  </si>
  <si>
    <t>47141405</t>
  </si>
  <si>
    <t>Montilla León Angeles Alfonzina</t>
  </si>
  <si>
    <t xml:space="preserve">Faringitis Aguda </t>
  </si>
  <si>
    <t xml:space="preserve">Si </t>
  </si>
  <si>
    <t xml:space="preserve">Farintis Aguda </t>
  </si>
  <si>
    <t>44473339</t>
  </si>
  <si>
    <t xml:space="preserve">Convenio de reducción de vacaciones firmado por 8 días del 12 al 19 de mayo </t>
  </si>
  <si>
    <t>Inflamación pelvica</t>
  </si>
  <si>
    <t>71003876</t>
  </si>
  <si>
    <t>Durand Matias Angelica Maria</t>
  </si>
  <si>
    <t>Lozano Lurita Diego Franco</t>
  </si>
  <si>
    <t xml:space="preserve">Cesado </t>
  </si>
  <si>
    <t>Paredes Trevejo Bruno Ralf</t>
  </si>
  <si>
    <t xml:space="preserve">Reyes Komt Giuliana Patricia </t>
  </si>
  <si>
    <t xml:space="preserve">Supervisor de Fidelización </t>
  </si>
  <si>
    <t xml:space="preserve">Activo </t>
  </si>
  <si>
    <t>Bronquitis Aguda</t>
  </si>
  <si>
    <t>48078962</t>
  </si>
  <si>
    <t>75742103</t>
  </si>
  <si>
    <t>Contractura Muscular</t>
  </si>
  <si>
    <t>70798194</t>
  </si>
  <si>
    <t>Linares Pita de Quispe Mariana Isabel</t>
  </si>
  <si>
    <t xml:space="preserve">Supervisor de ventas Senior </t>
  </si>
  <si>
    <t xml:space="preserve">Farfán Granadino Fiorella Yesenia </t>
  </si>
  <si>
    <t xml:space="preserve">Fuentes Murillo Joselyn Sara </t>
  </si>
  <si>
    <t xml:space="preserve">Infección Intestinal </t>
  </si>
  <si>
    <t>45889608</t>
  </si>
  <si>
    <t>Mejia Broncano Lucero Yasmin</t>
  </si>
  <si>
    <t>Fecha de cese</t>
  </si>
  <si>
    <t xml:space="preserve">Baldeon Cueva Lucero Yovanna </t>
  </si>
  <si>
    <t>Carranza Sánchez Rocío Del Pilar</t>
  </si>
  <si>
    <t xml:space="preserve">Amigdalitis Aguda </t>
  </si>
  <si>
    <t xml:space="preserve">Dolor de Gargante </t>
  </si>
  <si>
    <t>71534909</t>
  </si>
  <si>
    <t>47398869</t>
  </si>
  <si>
    <t xml:space="preserve">Farigeoamidgalitis </t>
  </si>
  <si>
    <t>Coordinador de RRHH</t>
  </si>
  <si>
    <t xml:space="preserve">Supervisor de Ventas Junior </t>
  </si>
  <si>
    <t>46236986</t>
  </si>
  <si>
    <t>Displacia cervical</t>
  </si>
  <si>
    <t>Dispasia cervical severa</t>
  </si>
  <si>
    <t>Chavez Ludeña Alicia Katherine</t>
  </si>
  <si>
    <t>Saldarriaga Rosso Leonel Arturo</t>
  </si>
  <si>
    <t xml:space="preserve"> Carranza Sánchez Rocío Del Pilar</t>
  </si>
  <si>
    <t>Laringotraqueitis</t>
  </si>
  <si>
    <t>Migraña</t>
  </si>
  <si>
    <t>Migraña Cronica</t>
  </si>
  <si>
    <t>47093872</t>
  </si>
  <si>
    <t xml:space="preserve"> Molina Mostajo Mauricio</t>
  </si>
  <si>
    <t>Fractura de pie</t>
  </si>
  <si>
    <t>46094314</t>
  </si>
  <si>
    <t>Diverticulitis</t>
  </si>
  <si>
    <t>Belahonia Juarez Nadia Denisse</t>
  </si>
  <si>
    <t>Huaripata Inga Susan  Stepani</t>
  </si>
  <si>
    <t>Lopez Piminchumo Monica Alejandra</t>
  </si>
  <si>
    <t>Farfan Gil José Alfredo</t>
  </si>
  <si>
    <t>Riofrio Pasiche Joel Daniel</t>
  </si>
  <si>
    <t xml:space="preserve">Gastroenteritis </t>
  </si>
  <si>
    <t>Alvarez Diaz Arlyn Yovana</t>
  </si>
  <si>
    <t>Castillo Tori Mariela liset</t>
  </si>
  <si>
    <t>Cruz Rojas Yoselin Alexandra</t>
  </si>
  <si>
    <t>Medina Abril Nicolil Esther</t>
  </si>
  <si>
    <t>Peralta Minchola Cecilia Victoria</t>
  </si>
  <si>
    <t>Zegarra Periche Karina Patricia</t>
  </si>
  <si>
    <t>Supevisor de Ventas Senior</t>
  </si>
  <si>
    <t>Yarleque Rivera Yuliana Violet</t>
  </si>
  <si>
    <t xml:space="preserve">Nota.: Las vacaciones correspondientes a los trabajadores de periodos por vencer, se encuentran siendo consideradas por Pattsy Poma. La cual dará respuesta lo antes posible. </t>
  </si>
  <si>
    <t xml:space="preserve">Garcia Peralta Fabian </t>
  </si>
  <si>
    <t>Silvera Torres Diego Armando</t>
  </si>
  <si>
    <t>Gastroenterocolitis Aguda</t>
  </si>
  <si>
    <t>Gonzales Cordero Luis Enrique</t>
  </si>
  <si>
    <t>Asesor de ventas junior</t>
  </si>
  <si>
    <t>Periodo 2025 - 2026</t>
  </si>
  <si>
    <t>Periodo 2026 - 2027</t>
  </si>
  <si>
    <t>Ancajima Marin Cynthia Paola</t>
  </si>
  <si>
    <t>Benavides Espíritu Yanina del Pilar</t>
  </si>
  <si>
    <t>Cancino Montoya Paul Sebastian</t>
  </si>
  <si>
    <t>Ramos Budiel Jhayla Maria</t>
  </si>
  <si>
    <t>Tapia Rabalan Rafael</t>
  </si>
  <si>
    <t>Castillo Jara Andrea Carolina</t>
  </si>
  <si>
    <t>Flores Visitacion Carla Geraldine</t>
  </si>
  <si>
    <t>CE002463092</t>
  </si>
  <si>
    <t>COVID</t>
  </si>
  <si>
    <t>Aborto Espontaneo Incompleto</t>
  </si>
  <si>
    <t>Araujo Zapata Rosmery Suley</t>
  </si>
  <si>
    <t>Bernal Torres Jose Augusto</t>
  </si>
  <si>
    <t>Chumpitaz Arpita Camila Sujey</t>
  </si>
  <si>
    <t>Del Carpio Campos Jose Miguel</t>
  </si>
  <si>
    <t>Díaz Mendoza Doris Nicolet</t>
  </si>
  <si>
    <t>Lachos Chiclayo Jorge Luis</t>
  </si>
  <si>
    <t>Linares Cordova Tania Marggiory</t>
  </si>
  <si>
    <t>Dolor estomacal</t>
  </si>
  <si>
    <t>Periodo: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</si>
</sst>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164" formatCode="_ * #,##0.00_ ;_ * \-#,##0.00_ ;_ * &quot;-&quot;??_ ;_ @_ "/>
    <numFmt numFmtId="165" formatCode="_ &quot;S/.&quot;\ * #,##0.00_ ;_ &quot;S/.&quot;\ * \-#,##0.00_ ;_ &quot;S/.&quot;\ * &quot;-&quot;??_ ;_ @_ "/>
    <numFmt numFmtId="166" formatCode="d/m;@"/>
    <numFmt numFmtId="167" formatCode="&quot;S/.&quot;#,##0.00"/>
    <numFmt numFmtId="168" formatCode="dd/mm/yyyy;@"/>
    <numFmt numFmtId="169" formatCode="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theme="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600B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rgb="FFF2F2F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FFFFF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7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9" fillId="0" borderId="0"/>
    <xf numFmtId="0" fontId="1" fillId="0" borderId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224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166" fontId="0" fillId="0" borderId="0" xfId="0" applyNumberFormat="1"/>
    <xf numFmtId="167" fontId="0" fillId="0" borderId="1" xfId="0" applyNumberFormat="1" applyBorder="1"/>
    <xf numFmtId="0" fontId="0" fillId="0" borderId="1" xfId="0" applyBorder="1" applyAlignment="1">
      <alignment horizontal="center"/>
    </xf>
    <xf numFmtId="14" fontId="1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/>
    <xf numFmtId="1" fontId="0" fillId="0" borderId="0" xfId="0" applyNumberFormat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167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49" fontId="5" fillId="0" borderId="1" xfId="0" applyNumberFormat="1" applyFont="1" applyBorder="1"/>
    <xf numFmtId="166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67" fontId="5" fillId="0" borderId="1" xfId="0" applyNumberFormat="1" applyFont="1" applyBorder="1"/>
    <xf numFmtId="49" fontId="6" fillId="7" borderId="1" xfId="0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49" fontId="0" fillId="8" borderId="1" xfId="0" applyNumberFormat="1" applyFill="1" applyBorder="1"/>
    <xf numFmtId="14" fontId="11" fillId="8" borderId="1" xfId="0" applyNumberFormat="1" applyFont="1" applyFill="1" applyBorder="1" applyAlignment="1">
      <alignment horizontal="center"/>
    </xf>
    <xf numFmtId="167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2" fontId="0" fillId="8" borderId="1" xfId="0" applyNumberFormat="1" applyFill="1" applyBorder="1"/>
    <xf numFmtId="1" fontId="0" fillId="8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0" xfId="0" applyFill="1"/>
    <xf numFmtId="0" fontId="12" fillId="0" borderId="0" xfId="0" applyFont="1"/>
    <xf numFmtId="0" fontId="13" fillId="9" borderId="1" xfId="33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5" borderId="1" xfId="33" applyFont="1" applyFill="1" applyBorder="1" applyAlignment="1">
      <alignment horizontal="center" vertical="center" wrapText="1"/>
    </xf>
    <xf numFmtId="2" fontId="5" fillId="5" borderId="1" xfId="0" applyNumberFormat="1" applyFont="1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20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20" fontId="0" fillId="10" borderId="1" xfId="0" applyNumberFormat="1" applyFill="1" applyBorder="1" applyAlignment="1">
      <alignment horizontal="center"/>
    </xf>
    <xf numFmtId="0" fontId="0" fillId="10" borderId="1" xfId="0" applyFill="1" applyBorder="1"/>
    <xf numFmtId="20" fontId="0" fillId="11" borderId="1" xfId="0" applyNumberFormat="1" applyFill="1" applyBorder="1" applyAlignment="1">
      <alignment horizontal="center"/>
    </xf>
    <xf numFmtId="0" fontId="0" fillId="11" borderId="1" xfId="0" applyFill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" fontId="11" fillId="2" borderId="3" xfId="0" applyNumberFormat="1" applyFont="1" applyFill="1" applyBorder="1" applyAlignment="1">
      <alignment horizontal="center"/>
    </xf>
    <xf numFmtId="0" fontId="12" fillId="2" borderId="1" xfId="0" applyFont="1" applyFill="1" applyBorder="1"/>
    <xf numFmtId="1" fontId="14" fillId="15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4" fontId="12" fillId="0" borderId="3" xfId="0" applyNumberFormat="1" applyFont="1" applyBorder="1" applyAlignment="1">
      <alignment horizontal="center"/>
    </xf>
    <xf numFmtId="1" fontId="11" fillId="2" borderId="1" xfId="0" applyNumberFormat="1" applyFont="1" applyFill="1" applyBorder="1" applyAlignment="1">
      <alignment horizontal="center"/>
    </xf>
    <xf numFmtId="0" fontId="8" fillId="16" borderId="12" xfId="0" applyFont="1" applyFill="1" applyBorder="1" applyAlignment="1">
      <alignment horizontal="center" vertical="center" wrapText="1"/>
    </xf>
    <xf numFmtId="0" fontId="8" fillId="17" borderId="13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/>
    </xf>
    <xf numFmtId="14" fontId="12" fillId="0" borderId="1" xfId="0" applyNumberFormat="1" applyFont="1" applyBorder="1"/>
    <xf numFmtId="0" fontId="15" fillId="14" borderId="14" xfId="0" applyFont="1" applyFill="1" applyBorder="1" applyAlignment="1">
      <alignment horizontal="left"/>
    </xf>
    <xf numFmtId="44" fontId="15" fillId="3" borderId="14" xfId="36" applyFont="1" applyFill="1" applyBorder="1" applyAlignment="1">
      <alignment horizontal="left" vertical="center"/>
    </xf>
    <xf numFmtId="14" fontId="15" fillId="14" borderId="15" xfId="0" applyNumberFormat="1" applyFont="1" applyFill="1" applyBorder="1" applyAlignment="1">
      <alignment horizontal="left" vertical="center"/>
    </xf>
    <xf numFmtId="44" fontId="15" fillId="14" borderId="15" xfId="36" applyFont="1" applyFill="1" applyBorder="1" applyAlignment="1">
      <alignment horizontal="left" vertical="center"/>
    </xf>
    <xf numFmtId="14" fontId="12" fillId="2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3" fillId="2" borderId="1" xfId="33" applyFont="1" applyFill="1" applyBorder="1" applyAlignment="1">
      <alignment horizontal="center" vertical="center" wrapText="1"/>
    </xf>
    <xf numFmtId="1" fontId="14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1" fillId="2" borderId="1" xfId="33" applyFont="1" applyFill="1" applyBorder="1" applyAlignment="1">
      <alignment horizontal="center" vertical="center" wrapText="1"/>
    </xf>
    <xf numFmtId="14" fontId="11" fillId="2" borderId="1" xfId="33" applyNumberFormat="1" applyFont="1" applyFill="1" applyBorder="1" applyAlignment="1">
      <alignment horizontal="center" vertical="center" wrapText="1"/>
    </xf>
    <xf numFmtId="168" fontId="12" fillId="2" borderId="1" xfId="0" applyNumberFormat="1" applyFont="1" applyFill="1" applyBorder="1" applyAlignment="1">
      <alignment horizontal="center"/>
    </xf>
    <xf numFmtId="49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68" fontId="12" fillId="2" borderId="1" xfId="0" applyNumberFormat="1" applyFont="1" applyFill="1" applyBorder="1" applyAlignment="1">
      <alignment horizontal="left"/>
    </xf>
    <xf numFmtId="0" fontId="12" fillId="3" borderId="0" xfId="0" applyFont="1" applyFill="1"/>
    <xf numFmtId="168" fontId="12" fillId="2" borderId="1" xfId="0" applyNumberFormat="1" applyFont="1" applyFill="1" applyBorder="1" applyAlignment="1">
      <alignment horizontal="center" wrapText="1"/>
    </xf>
    <xf numFmtId="168" fontId="12" fillId="0" borderId="1" xfId="0" applyNumberFormat="1" applyFont="1" applyBorder="1" applyAlignment="1">
      <alignment horizontal="left"/>
    </xf>
    <xf numFmtId="0" fontId="7" fillId="13" borderId="2" xfId="0" applyFont="1" applyFill="1" applyBorder="1" applyAlignment="1">
      <alignment horizontal="center" vertical="center" wrapText="1"/>
    </xf>
    <xf numFmtId="49" fontId="7" fillId="13" borderId="2" xfId="0" applyNumberFormat="1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16" fillId="0" borderId="0" xfId="0" applyFont="1"/>
    <xf numFmtId="168" fontId="16" fillId="2" borderId="1" xfId="0" applyNumberFormat="1" applyFont="1" applyFill="1" applyBorder="1" applyAlignment="1">
      <alignment horizontal="center"/>
    </xf>
    <xf numFmtId="49" fontId="16" fillId="2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168" fontId="16" fillId="2" borderId="1" xfId="0" applyNumberFormat="1" applyFont="1" applyFill="1" applyBorder="1" applyAlignment="1">
      <alignment horizontal="left"/>
    </xf>
    <xf numFmtId="1" fontId="16" fillId="2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/>
    <xf numFmtId="0" fontId="18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left"/>
    </xf>
    <xf numFmtId="14" fontId="18" fillId="2" borderId="1" xfId="0" applyNumberFormat="1" applyFont="1" applyFill="1" applyBorder="1" applyAlignment="1">
      <alignment horizontal="center" wrapText="1"/>
    </xf>
    <xf numFmtId="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4" fontId="13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wrapText="1"/>
    </xf>
    <xf numFmtId="14" fontId="11" fillId="2" borderId="1" xfId="0" applyNumberFormat="1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/>
    </xf>
    <xf numFmtId="3" fontId="11" fillId="2" borderId="1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right"/>
    </xf>
    <xf numFmtId="14" fontId="18" fillId="2" borderId="0" xfId="0" applyNumberFormat="1" applyFont="1" applyFill="1"/>
    <xf numFmtId="0" fontId="20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6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4" fontId="17" fillId="2" borderId="16" xfId="0" applyNumberFormat="1" applyFont="1" applyFill="1" applyBorder="1" applyAlignment="1">
      <alignment horizontal="center" vertical="center"/>
    </xf>
    <xf numFmtId="4" fontId="17" fillId="2" borderId="16" xfId="0" applyNumberFormat="1" applyFont="1" applyFill="1" applyBorder="1" applyAlignment="1">
      <alignment horizontal="center" vertical="center" wrapText="1"/>
    </xf>
    <xf numFmtId="4" fontId="17" fillId="3" borderId="16" xfId="0" applyNumberFormat="1" applyFont="1" applyFill="1" applyBorder="1" applyAlignment="1">
      <alignment horizontal="center" vertical="center" wrapText="1"/>
    </xf>
    <xf numFmtId="4" fontId="17" fillId="9" borderId="16" xfId="0" applyNumberFormat="1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 wrapText="1"/>
    </xf>
    <xf numFmtId="4" fontId="18" fillId="2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center" wrapText="1"/>
    </xf>
    <xf numFmtId="164" fontId="18" fillId="2" borderId="1" xfId="1" applyFont="1" applyFill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164" fontId="18" fillId="2" borderId="1" xfId="1" applyFont="1" applyFill="1" applyBorder="1" applyAlignment="1"/>
    <xf numFmtId="4" fontId="18" fillId="0" borderId="1" xfId="0" applyNumberFormat="1" applyFont="1" applyBorder="1" applyAlignment="1">
      <alignment horizontal="center" wrapText="1"/>
    </xf>
    <xf numFmtId="0" fontId="18" fillId="2" borderId="1" xfId="32" applyFont="1" applyFill="1" applyBorder="1" applyAlignment="1">
      <alignment horizontal="center" wrapText="1"/>
    </xf>
    <xf numFmtId="164" fontId="18" fillId="0" borderId="1" xfId="1" applyFont="1" applyFill="1" applyBorder="1" applyAlignment="1"/>
    <xf numFmtId="164" fontId="18" fillId="2" borderId="3" xfId="1" applyFont="1" applyFill="1" applyBorder="1" applyAlignment="1"/>
    <xf numFmtId="169" fontId="18" fillId="2" borderId="2" xfId="0" applyNumberFormat="1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 wrapText="1"/>
    </xf>
    <xf numFmtId="0" fontId="18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8" fillId="2" borderId="2" xfId="32" applyFont="1" applyFill="1" applyBorder="1" applyAlignment="1">
      <alignment horizontal="center" wrapText="1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right"/>
    </xf>
    <xf numFmtId="0" fontId="18" fillId="2" borderId="17" xfId="0" applyFont="1" applyFill="1" applyBorder="1"/>
    <xf numFmtId="169" fontId="18" fillId="2" borderId="1" xfId="0" applyNumberFormat="1" applyFont="1" applyFill="1" applyBorder="1" applyAlignment="1">
      <alignment horizontal="center"/>
    </xf>
    <xf numFmtId="0" fontId="18" fillId="2" borderId="1" xfId="0" applyFont="1" applyFill="1" applyBorder="1" applyAlignment="1">
      <alignment horizontal="right"/>
    </xf>
    <xf numFmtId="0" fontId="18" fillId="2" borderId="3" xfId="0" applyFont="1" applyFill="1" applyBorder="1"/>
    <xf numFmtId="0" fontId="18" fillId="2" borderId="5" xfId="0" applyFont="1" applyFill="1" applyBorder="1"/>
    <xf numFmtId="1" fontId="18" fillId="2" borderId="1" xfId="0" applyNumberFormat="1" applyFont="1" applyFill="1" applyBorder="1" applyAlignment="1">
      <alignment horizontal="center" wrapText="1"/>
    </xf>
    <xf numFmtId="0" fontId="18" fillId="2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18" fillId="3" borderId="0" xfId="0" applyFont="1" applyFill="1"/>
    <xf numFmtId="0" fontId="20" fillId="3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  <xf numFmtId="0" fontId="20" fillId="2" borderId="0" xfId="0" applyFont="1" applyFill="1"/>
    <xf numFmtId="169" fontId="18" fillId="2" borderId="0" xfId="0" applyNumberFormat="1" applyFont="1" applyFill="1" applyAlignment="1">
      <alignment horizontal="center"/>
    </xf>
    <xf numFmtId="0" fontId="24" fillId="20" borderId="14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14" fontId="18" fillId="2" borderId="0" xfId="0" applyNumberFormat="1" applyFont="1" applyFill="1" applyAlignment="1">
      <alignment horizontal="center" wrapText="1"/>
    </xf>
    <xf numFmtId="0" fontId="18" fillId="2" borderId="0" xfId="32" applyFont="1" applyFill="1" applyAlignment="1">
      <alignment horizontal="center" wrapText="1"/>
    </xf>
    <xf numFmtId="1" fontId="18" fillId="2" borderId="0" xfId="0" applyNumberFormat="1" applyFont="1" applyFill="1" applyAlignment="1">
      <alignment horizontal="center" wrapText="1"/>
    </xf>
    <xf numFmtId="0" fontId="18" fillId="8" borderId="1" xfId="0" applyFont="1" applyFill="1" applyBorder="1" applyAlignment="1">
      <alignment horizontal="center" wrapText="1"/>
    </xf>
    <xf numFmtId="3" fontId="18" fillId="2" borderId="1" xfId="0" applyNumberFormat="1" applyFont="1" applyFill="1" applyBorder="1" applyAlignment="1">
      <alignment horizontal="center" wrapText="1"/>
    </xf>
    <xf numFmtId="3" fontId="18" fillId="2" borderId="0" xfId="0" applyNumberFormat="1" applyFont="1" applyFill="1" applyAlignment="1">
      <alignment horizontal="center" wrapText="1"/>
    </xf>
    <xf numFmtId="164" fontId="18" fillId="2" borderId="1" xfId="1" applyFont="1" applyFill="1" applyBorder="1" applyAlignment="1">
      <alignment horizontal="center"/>
    </xf>
    <xf numFmtId="3" fontId="18" fillId="2" borderId="1" xfId="0" applyNumberFormat="1" applyFont="1" applyFill="1" applyBorder="1"/>
    <xf numFmtId="3" fontId="18" fillId="3" borderId="1" xfId="0" applyNumberFormat="1" applyFont="1" applyFill="1" applyBorder="1" applyAlignment="1">
      <alignment horizontal="center" wrapText="1"/>
    </xf>
    <xf numFmtId="3" fontId="17" fillId="3" borderId="1" xfId="0" applyNumberFormat="1" applyFont="1" applyFill="1" applyBorder="1" applyAlignment="1">
      <alignment horizontal="center" wrapText="1"/>
    </xf>
    <xf numFmtId="0" fontId="17" fillId="2" borderId="1" xfId="0" applyFont="1" applyFill="1" applyBorder="1"/>
    <xf numFmtId="44" fontId="18" fillId="2" borderId="0" xfId="36" applyFont="1" applyFill="1"/>
    <xf numFmtId="44" fontId="0" fillId="0" borderId="0" xfId="36" applyFont="1"/>
    <xf numFmtId="44" fontId="17" fillId="2" borderId="0" xfId="36" applyFont="1" applyFill="1" applyAlignment="1">
      <alignment horizontal="center"/>
    </xf>
    <xf numFmtId="44" fontId="17" fillId="2" borderId="16" xfId="36" applyFont="1" applyFill="1" applyBorder="1" applyAlignment="1">
      <alignment horizontal="center" vertical="center" wrapText="1"/>
    </xf>
    <xf numFmtId="44" fontId="18" fillId="2" borderId="1" xfId="36" applyFont="1" applyFill="1" applyBorder="1" applyAlignment="1">
      <alignment horizontal="center" wrapText="1"/>
    </xf>
    <xf numFmtId="44" fontId="18" fillId="2" borderId="1" xfId="36" applyFont="1" applyFill="1" applyBorder="1" applyAlignment="1"/>
    <xf numFmtId="44" fontId="18" fillId="2" borderId="1" xfId="36" applyFont="1" applyFill="1" applyBorder="1"/>
    <xf numFmtId="44" fontId="18" fillId="2" borderId="2" xfId="36" applyFont="1" applyFill="1" applyBorder="1"/>
    <xf numFmtId="3" fontId="17" fillId="3" borderId="0" xfId="0" applyNumberFormat="1" applyFont="1" applyFill="1" applyAlignment="1">
      <alignment horizontal="center" wrapText="1"/>
    </xf>
    <xf numFmtId="44" fontId="18" fillId="2" borderId="0" xfId="36" applyFont="1" applyFill="1" applyBorder="1"/>
    <xf numFmtId="0" fontId="18" fillId="8" borderId="4" xfId="0" applyFont="1" applyFill="1" applyBorder="1" applyAlignment="1">
      <alignment horizontal="center" wrapText="1"/>
    </xf>
    <xf numFmtId="169" fontId="18" fillId="8" borderId="0" xfId="0" applyNumberFormat="1" applyFont="1" applyFill="1" applyAlignment="1">
      <alignment horizontal="center"/>
    </xf>
    <xf numFmtId="0" fontId="18" fillId="8" borderId="1" xfId="0" applyFont="1" applyFill="1" applyBorder="1" applyAlignment="1">
      <alignment horizontal="left"/>
    </xf>
    <xf numFmtId="14" fontId="18" fillId="8" borderId="1" xfId="0" applyNumberFormat="1" applyFont="1" applyFill="1" applyBorder="1" applyAlignment="1">
      <alignment horizontal="center" wrapText="1"/>
    </xf>
    <xf numFmtId="14" fontId="18" fillId="8" borderId="1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3" fontId="18" fillId="8" borderId="1" xfId="0" applyNumberFormat="1" applyFont="1" applyFill="1" applyBorder="1" applyAlignment="1">
      <alignment horizontal="center" wrapText="1"/>
    </xf>
    <xf numFmtId="0" fontId="18" fillId="8" borderId="1" xfId="32" applyFont="1" applyFill="1" applyBorder="1" applyAlignment="1">
      <alignment horizontal="center" wrapText="1"/>
    </xf>
    <xf numFmtId="0" fontId="18" fillId="8" borderId="1" xfId="0" applyFont="1" applyFill="1" applyBorder="1"/>
    <xf numFmtId="44" fontId="18" fillId="8" borderId="1" xfId="36" applyFont="1" applyFill="1" applyBorder="1"/>
    <xf numFmtId="0" fontId="18" fillId="8" borderId="1" xfId="0" applyFont="1" applyFill="1" applyBorder="1" applyAlignment="1">
      <alignment horizontal="right"/>
    </xf>
    <xf numFmtId="1" fontId="18" fillId="8" borderId="1" xfId="0" applyNumberFormat="1" applyFont="1" applyFill="1" applyBorder="1" applyAlignment="1">
      <alignment horizontal="center" wrapText="1"/>
    </xf>
    <xf numFmtId="0" fontId="18" fillId="8" borderId="5" xfId="0" applyFont="1" applyFill="1" applyBorder="1"/>
    <xf numFmtId="0" fontId="18" fillId="8" borderId="0" xfId="0" applyFont="1" applyFill="1"/>
    <xf numFmtId="0" fontId="17" fillId="19" borderId="1" xfId="0" applyFont="1" applyFill="1" applyBorder="1" applyAlignment="1">
      <alignment horizontal="center" vertical="center"/>
    </xf>
    <xf numFmtId="4" fontId="17" fillId="18" borderId="1" xfId="0" applyNumberFormat="1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14" fillId="10" borderId="9" xfId="0" applyFont="1" applyFill="1" applyBorder="1" applyAlignment="1">
      <alignment horizontal="center"/>
    </xf>
    <xf numFmtId="0" fontId="14" fillId="10" borderId="11" xfId="0" applyFont="1" applyFill="1" applyBorder="1" applyAlignment="1">
      <alignment horizontal="center"/>
    </xf>
    <xf numFmtId="0" fontId="14" fillId="3" borderId="0" xfId="0" applyFont="1" applyFill="1" applyAlignment="1">
      <alignment horizontal="center" vertical="center" wrapText="1"/>
    </xf>
  </cellXfs>
  <cellStyles count="37">
    <cellStyle name="Millares" xfId="1" builtinId="3"/>
    <cellStyle name="Millares 2" xfId="33" xr:uid="{00000000-0005-0000-0000-000001000000}"/>
    <cellStyle name="Millares 3" xfId="34" xr:uid="{00000000-0005-0000-0000-000002000000}"/>
    <cellStyle name="Moneda" xfId="36" builtinId="4"/>
    <cellStyle name="Moneda 2" xfId="2" xr:uid="{00000000-0005-0000-0000-000004000000}"/>
    <cellStyle name="Moneda 2 2" xfId="3" xr:uid="{00000000-0005-0000-0000-000005000000}"/>
    <cellStyle name="Moneda 2 2 2" xfId="4" xr:uid="{00000000-0005-0000-0000-000006000000}"/>
    <cellStyle name="Moneda 2 2 2 2" xfId="5" xr:uid="{00000000-0005-0000-0000-000007000000}"/>
    <cellStyle name="Moneda 2 2 3" xfId="6" xr:uid="{00000000-0005-0000-0000-000008000000}"/>
    <cellStyle name="Moneda 2 3" xfId="7" xr:uid="{00000000-0005-0000-0000-000009000000}"/>
    <cellStyle name="Moneda 2 3 2" xfId="8" xr:uid="{00000000-0005-0000-0000-00000A000000}"/>
    <cellStyle name="Moneda 2 4" xfId="9" xr:uid="{00000000-0005-0000-0000-00000B000000}"/>
    <cellStyle name="Moneda 3" xfId="10" xr:uid="{00000000-0005-0000-0000-00000C000000}"/>
    <cellStyle name="Moneda 3 2" xfId="11" xr:uid="{00000000-0005-0000-0000-00000D000000}"/>
    <cellStyle name="Moneda 3 2 2" xfId="12" xr:uid="{00000000-0005-0000-0000-00000E000000}"/>
    <cellStyle name="Moneda 3 2 2 2" xfId="13" xr:uid="{00000000-0005-0000-0000-00000F000000}"/>
    <cellStyle name="Moneda 3 2 3" xfId="14" xr:uid="{00000000-0005-0000-0000-000010000000}"/>
    <cellStyle name="Moneda 3 3" xfId="15" xr:uid="{00000000-0005-0000-0000-000011000000}"/>
    <cellStyle name="Moneda 3 3 2" xfId="16" xr:uid="{00000000-0005-0000-0000-000012000000}"/>
    <cellStyle name="Moneda 3 4" xfId="17" xr:uid="{00000000-0005-0000-0000-000013000000}"/>
    <cellStyle name="Moneda 4" xfId="18" xr:uid="{00000000-0005-0000-0000-000014000000}"/>
    <cellStyle name="Moneda 4 2" xfId="19" xr:uid="{00000000-0005-0000-0000-000015000000}"/>
    <cellStyle name="Moneda 4 2 2" xfId="20" xr:uid="{00000000-0005-0000-0000-000016000000}"/>
    <cellStyle name="Moneda 4 3" xfId="21" xr:uid="{00000000-0005-0000-0000-000017000000}"/>
    <cellStyle name="Moneda 5" xfId="22" xr:uid="{00000000-0005-0000-0000-000018000000}"/>
    <cellStyle name="Moneda 5 2" xfId="23" xr:uid="{00000000-0005-0000-0000-000019000000}"/>
    <cellStyle name="Moneda 6" xfId="24" xr:uid="{00000000-0005-0000-0000-00001A000000}"/>
    <cellStyle name="Moneda 7" xfId="35" xr:uid="{00000000-0005-0000-0000-00001B000000}"/>
    <cellStyle name="Normal" xfId="0" builtinId="0"/>
    <cellStyle name="Normal 14" xfId="25" xr:uid="{00000000-0005-0000-0000-00001D000000}"/>
    <cellStyle name="Normal 15" xfId="26" xr:uid="{00000000-0005-0000-0000-00001E000000}"/>
    <cellStyle name="Normal 16" xfId="27" xr:uid="{00000000-0005-0000-0000-00001F000000}"/>
    <cellStyle name="Normal 2" xfId="32" xr:uid="{00000000-0005-0000-0000-000020000000}"/>
    <cellStyle name="Normal 28" xfId="28" xr:uid="{00000000-0005-0000-0000-000021000000}"/>
    <cellStyle name="Normal 29" xfId="29" xr:uid="{00000000-0005-0000-0000-000022000000}"/>
    <cellStyle name="Normal 30" xfId="30" xr:uid="{00000000-0005-0000-0000-000023000000}"/>
    <cellStyle name="Normal 31" xfId="31" xr:uid="{00000000-0005-0000-0000-000024000000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70" formatCode="d/mm/yyyy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70" formatCode="d/mm/yyyy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rgb="FFFFFFFF"/>
        </right>
        <top style="thin">
          <color rgb="FFFFFFFF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70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9" formatCode="0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bottom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4DFD23"/>
      <color rgb="FF00FFFF"/>
      <color rgb="FF66FFCC"/>
      <color rgb="FF66FF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304800</xdr:colOff>
      <xdr:row>1</xdr:row>
      <xdr:rowOff>114300</xdr:rowOff>
    </xdr:to>
    <xdr:sp macro="" textlink="">
      <xdr:nvSpPr>
        <xdr:cNvPr id="26625" name="m_19129362148892759273d5508b5-7d05-4553-b2da-142abfd9f6ad" descr="https://mail.google.com/mail/u/0?ui=2&amp;ik=585ea5acef&amp;attid=0.0.2&amp;permmsgid=msg-f:1661735162974593039&amp;th=170fab5393e0600f&amp;view=fimg&amp;sz=s0-l75-ft&amp;attbid=ANGjdJ8OOTqFWRsdkc1HfcLSl5AS32Tf8JzG9AI1D6HB0yYTb1tJ-sVBxD4fqXje5w-ohmwPtl5yzgs_5huzrmKby8zCS3oPS8-AXHeKDDKMSPPC5bLFXdk0S9LML_s&amp;disp=emb">
          <a:extLst>
            <a:ext uri="{FF2B5EF4-FFF2-40B4-BE49-F238E27FC236}">
              <a16:creationId xmlns:a16="http://schemas.microsoft.com/office/drawing/2014/main" id="{00000000-0008-0000-0200-000001680000}"/>
            </a:ext>
          </a:extLst>
        </xdr:cNvPr>
        <xdr:cNvSpPr>
          <a:spLocks noChangeAspect="1" noChangeArrowheads="1"/>
        </xdr:cNvSpPr>
      </xdr:nvSpPr>
      <xdr:spPr bwMode="auto">
        <a:xfrm>
          <a:off x="4048125" y="355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6" name="Imagen 5" descr="Adjuntos">
          <a:extLst>
            <a:ext uri="{FF2B5EF4-FFF2-40B4-BE49-F238E27FC236}">
              <a16:creationId xmlns:a16="http://schemas.microsoft.com/office/drawing/2014/main" id="{131FE85B-5E05-43DA-AD6B-66340F060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2589AD-F1E4-4C7E-B461-E6C988884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6C513F-B90E-44EE-86A2-9D46D3835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9525</xdr:colOff>
      <xdr:row>0</xdr:row>
      <xdr:rowOff>9525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DCD03D1-D03D-42B0-98D4-228B1CB14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9525</xdr:colOff>
      <xdr:row>0</xdr:row>
      <xdr:rowOff>9525</xdr:rowOff>
    </xdr:to>
    <xdr:sp macro="" textlink="">
      <xdr:nvSpPr>
        <xdr:cNvPr id="34818" name="AutoShape 2">
          <a:extLst>
            <a:ext uri="{FF2B5EF4-FFF2-40B4-BE49-F238E27FC236}">
              <a16:creationId xmlns:a16="http://schemas.microsoft.com/office/drawing/2014/main" id="{0E0AA62C-DCDD-4A5B-8D55-2C8349E1D432}"/>
            </a:ext>
          </a:extLst>
        </xdr:cNvPr>
        <xdr:cNvSpPr>
          <a:spLocks noChangeAspect="1" noChangeArrowheads="1"/>
        </xdr:cNvSpPr>
      </xdr:nvSpPr>
      <xdr:spPr bwMode="auto">
        <a:xfrm>
          <a:off x="1524000" y="85915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8:AL29" totalsRowShown="0" headerRowDxfId="77" dataDxfId="75" headerRowBorderDxfId="76" tableBorderDxfId="74" totalsRowBorderDxfId="73">
  <autoFilter ref="A8:AL29" xr:uid="{00000000-0009-0000-0100-000002000000}"/>
  <tableColumns count="38">
    <tableColumn id="1" xr3:uid="{00000000-0010-0000-0000-000001000000}" name="Código" dataDxfId="72"/>
    <tableColumn id="2" xr3:uid="{00000000-0010-0000-0000-000002000000}" name="U.N." dataDxfId="71"/>
    <tableColumn id="3" xr3:uid="{00000000-0010-0000-0000-000003000000}" name="Cargo" dataDxfId="70"/>
    <tableColumn id="4" xr3:uid="{00000000-0010-0000-0000-000004000000}" name="Fecha Ingreso" dataDxfId="69"/>
    <tableColumn id="5" xr3:uid="{00000000-0010-0000-0000-000005000000}" name="Situación Laboral" dataDxfId="68"/>
    <tableColumn id="6" xr3:uid="{00000000-0010-0000-0000-000006000000}" name="Apellidos y Nombres" dataDxfId="67"/>
    <tableColumn id="7" xr3:uid="{00000000-0010-0000-0000-000007000000}" name="Fecha de cese" dataDxfId="66"/>
    <tableColumn id="8" xr3:uid="{00000000-0010-0000-0000-000008000000}" name="Dias Feriados" dataDxfId="65"/>
    <tableColumn id="9" xr3:uid="{00000000-0010-0000-0000-000009000000}" name="Sabados del Mes" dataDxfId="64"/>
    <tableColumn id="10" xr3:uid="{00000000-0010-0000-0000-00000A000000}" name="Domingos del Mes" dataDxfId="63"/>
    <tableColumn id="11" xr3:uid="{00000000-0010-0000-0000-00000B000000}" name="Faltas" dataDxfId="62"/>
    <tableColumn id="12" xr3:uid="{00000000-0010-0000-0000-00000C000000}" name="Suspensión" dataDxfId="61"/>
    <tableColumn id="13" xr3:uid="{00000000-0010-0000-0000-00000D000000}" name="Licencia con Goce de Haber" dataDxfId="60"/>
    <tableColumn id="38" xr3:uid="{8BEB9D87-3B94-4773-99BB-9EACBBADD4B9}" name="Licencia con Goce de Haber por hora" dataDxfId="59"/>
    <tableColumn id="14" xr3:uid="{00000000-0010-0000-0000-00000E000000}" name="Licencia sin Goce de Haber por día" dataDxfId="58"/>
    <tableColumn id="36" xr3:uid="{C47AE544-0257-4D2E-BAC4-EF34B5C0EF0F}" name="Licencia sin Goce de Haber por hora" dataDxfId="57"/>
    <tableColumn id="15" xr3:uid="{00000000-0010-0000-0000-00000F000000}" name="Vacaciones Gozadas" dataDxfId="56"/>
    <tableColumn id="16" xr3:uid="{00000000-0010-0000-0000-000010000000}" name="Descanso Médico" dataDxfId="55"/>
    <tableColumn id="17" xr3:uid="{00000000-0010-0000-0000-000011000000}" name="Licencia por Maternidad" dataDxfId="54"/>
    <tableColumn id="18" xr3:uid="{00000000-0010-0000-0000-000012000000}" name="Licencia por lactancia" dataDxfId="53"/>
    <tableColumn id="19" xr3:uid="{00000000-0010-0000-0000-000013000000}" name="Licencia por Paternidad" dataDxfId="52"/>
    <tableColumn id="20" xr3:uid="{00000000-0010-0000-0000-000014000000}" name="Tardanzas" dataDxfId="51"/>
    <tableColumn id="22" xr3:uid="{00000000-0010-0000-0000-000016000000}" name="Total Días efectivamente Trabajados" dataDxfId="50" dataCellStyle="Normal 2"/>
    <tableColumn id="23" xr3:uid="{00000000-0010-0000-0000-000017000000}" name="Total Horas Trabajadas del Mes" dataDxfId="49" dataCellStyle="Normal 2"/>
    <tableColumn id="24" xr3:uid="{00000000-0010-0000-0000-000018000000}" name="Préstamo" dataDxfId="48"/>
    <tableColumn id="25" xr3:uid="{00000000-0010-0000-0000-000019000000}" name="Adelanto Planilla" dataDxfId="47"/>
    <tableColumn id="26" xr3:uid="{00000000-0010-0000-0000-00001A000000}" name="Seguro Privado" dataDxfId="46"/>
    <tableColumn id="27" xr3:uid="{00000000-0010-0000-0000-00001B000000}" name="Otros" dataDxfId="45"/>
    <tableColumn id="28" xr3:uid="{00000000-0010-0000-0000-00001C000000}" name="Comisiones" dataDxfId="44" dataCellStyle="Moneda"/>
    <tableColumn id="29" xr3:uid="{00000000-0010-0000-0000-00001D000000}" name="Bono Por Objetivo" dataDxfId="43"/>
    <tableColumn id="30" xr3:uid="{00000000-0010-0000-0000-00001E000000}" name="Bono de ingreso" dataDxfId="42"/>
    <tableColumn id="31" xr3:uid="{00000000-0010-0000-0000-00001F000000}" name="Refrigerio no principal" dataDxfId="41"/>
    <tableColumn id="32" xr3:uid="{00000000-0010-0000-0000-000020000000}" name="Aguinaldo" dataDxfId="40"/>
    <tableColumn id="33" xr3:uid="{00000000-0010-0000-0000-000021000000}" name="Otros2" dataDxfId="39"/>
    <tableColumn id="34" xr3:uid="{00000000-0010-0000-0000-000022000000}" name="Incremento de Sueldo" dataDxfId="38"/>
    <tableColumn id="37" xr3:uid="{AE433C89-2889-490F-B176-15A32ECF99C1}" name="Condición de trabajo" dataDxfId="37"/>
    <tableColumn id="35" xr3:uid="{00000000-0010-0000-0000-000023000000}" name="Baja de Sueldo" dataDxfId="36"/>
    <tableColumn id="21" xr3:uid="{00000000-0010-0000-0000-000015000000}" name="COMENTARIO" dataDxfId="3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B1:C3" totalsRowCount="1" headerRowBorderDxfId="34" tableBorderDxfId="33" totalsRowBorderDxfId="32">
  <autoFilter ref="B1:C2" xr:uid="{00000000-0009-0000-0100-000001000000}"/>
  <tableColumns count="2">
    <tableColumn id="1" xr3:uid="{00000000-0010-0000-0100-000001000000}" name="Nombre y Apellido " totalsRowLabel="Total" dataDxfId="31" totalsRowDxfId="30"/>
    <tableColumn id="2" xr3:uid="{00000000-0010-0000-0100-000002000000}" name="Comision" totalsRowFunction="custom" dataDxfId="29" totalsRowDxfId="28">
      <totalsRowFormula>SUM(C2:C2)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L83"/>
  <sheetViews>
    <sheetView showGridLines="0" tabSelected="1" zoomScale="90" zoomScaleNormal="9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S15" sqref="S15"/>
    </sheetView>
  </sheetViews>
  <sheetFormatPr baseColWidth="10" defaultColWidth="11.5" defaultRowHeight="14" x14ac:dyDescent="0.2"/>
  <cols>
    <col min="1" max="1" width="5" style="127" customWidth="1"/>
    <col min="2" max="2" width="8.5" style="127" hidden="1" customWidth="1"/>
    <col min="3" max="3" width="35.33203125" style="127" customWidth="1"/>
    <col min="4" max="4" width="13.5" style="127" customWidth="1"/>
    <col min="5" max="5" width="17" style="127" customWidth="1"/>
    <col min="6" max="6" width="30" style="128" bestFit="1" customWidth="1"/>
    <col min="7" max="7" width="12.33203125" style="129" customWidth="1"/>
    <col min="8" max="8" width="12" style="129" customWidth="1"/>
    <col min="9" max="9" width="11.33203125" style="129" customWidth="1"/>
    <col min="10" max="10" width="11.5" style="129" customWidth="1"/>
    <col min="11" max="11" width="9.1640625" style="129" customWidth="1"/>
    <col min="12" max="12" width="13.1640625" style="129" customWidth="1"/>
    <col min="13" max="13" width="10.1640625" style="129" customWidth="1"/>
    <col min="14" max="14" width="11.6640625" style="129" customWidth="1"/>
    <col min="15" max="15" width="11.33203125" style="129" customWidth="1"/>
    <col min="16" max="16" width="18.33203125" style="129" customWidth="1"/>
    <col min="17" max="17" width="13.5" style="129" customWidth="1"/>
    <col min="18" max="18" width="12.5" style="130" customWidth="1"/>
    <col min="19" max="19" width="14.5" style="130" customWidth="1"/>
    <col min="20" max="20" width="13.83203125" style="130" customWidth="1"/>
    <col min="21" max="21" width="15.6640625" style="127" customWidth="1"/>
    <col min="22" max="22" width="12.6640625" style="130" customWidth="1"/>
    <col min="23" max="23" width="13" style="127" customWidth="1"/>
    <col min="24" max="24" width="12.6640625" style="127" customWidth="1"/>
    <col min="25" max="25" width="14.6640625" style="127" customWidth="1"/>
    <col min="26" max="26" width="15.1640625" style="127" customWidth="1"/>
    <col min="27" max="27" width="12.6640625" style="127" customWidth="1"/>
    <col min="28" max="28" width="10.6640625" style="127" bestFit="1" customWidth="1"/>
    <col min="29" max="29" width="14.6640625" style="190" customWidth="1"/>
    <col min="30" max="31" width="12.6640625" style="127" customWidth="1"/>
    <col min="32" max="32" width="12.6640625" style="131" customWidth="1"/>
    <col min="33" max="33" width="13.83203125" style="131" customWidth="1"/>
    <col min="34" max="34" width="16.1640625" style="127" customWidth="1"/>
    <col min="35" max="36" width="17" style="127" customWidth="1"/>
    <col min="37" max="37" width="19.33203125" style="127" customWidth="1"/>
    <col min="38" max="38" width="52" style="127" customWidth="1"/>
    <col min="39" max="16384" width="11.5" style="127"/>
  </cols>
  <sheetData>
    <row r="1" spans="1:38" ht="15" x14ac:dyDescent="0.2">
      <c r="A1" s="126" t="s">
        <v>166</v>
      </c>
      <c r="B1" s="126"/>
      <c r="O1" s="128"/>
      <c r="P1" s="128"/>
    </row>
    <row r="2" spans="1:38" ht="15" x14ac:dyDescent="0.2">
      <c r="A2" s="126" t="s">
        <v>0</v>
      </c>
      <c r="B2" s="126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s="191"/>
    </row>
    <row r="3" spans="1:38" ht="15" x14ac:dyDescent="0.2">
      <c r="A3" s="126" t="s">
        <v>314</v>
      </c>
      <c r="B3" s="126"/>
      <c r="E3" s="130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s="191"/>
    </row>
    <row r="4" spans="1:38" ht="15" x14ac:dyDescent="0.2">
      <c r="D4" s="132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s="191"/>
    </row>
    <row r="5" spans="1:38" x14ac:dyDescent="0.2">
      <c r="R5" s="133"/>
      <c r="S5" s="133"/>
      <c r="T5" s="133"/>
      <c r="Y5" s="132"/>
      <c r="AC5" s="192"/>
      <c r="AD5" s="134"/>
    </row>
    <row r="7" spans="1:38" ht="15" customHeight="1" x14ac:dyDescent="0.2">
      <c r="K7" s="215" t="s">
        <v>175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6" t="s">
        <v>174</v>
      </c>
      <c r="AD7" s="216"/>
      <c r="AE7" s="216"/>
      <c r="AF7" s="216"/>
      <c r="AG7" s="216"/>
      <c r="AH7" s="217"/>
      <c r="AI7" s="214" t="s">
        <v>11</v>
      </c>
      <c r="AJ7" s="214"/>
      <c r="AK7" s="214"/>
    </row>
    <row r="8" spans="1:38" s="130" customFormat="1" ht="52" customHeight="1" x14ac:dyDescent="0.2">
      <c r="A8" s="135" t="s">
        <v>1</v>
      </c>
      <c r="B8" s="136" t="s">
        <v>142</v>
      </c>
      <c r="C8" s="137" t="s">
        <v>2</v>
      </c>
      <c r="D8" s="137" t="s">
        <v>3</v>
      </c>
      <c r="E8" s="137" t="s">
        <v>27</v>
      </c>
      <c r="F8" s="138" t="s">
        <v>4</v>
      </c>
      <c r="G8" s="139" t="s">
        <v>250</v>
      </c>
      <c r="H8" s="139" t="s">
        <v>17</v>
      </c>
      <c r="I8" s="139" t="s">
        <v>18</v>
      </c>
      <c r="J8" s="139" t="s">
        <v>19</v>
      </c>
      <c r="K8" s="139" t="s">
        <v>5</v>
      </c>
      <c r="L8" s="139" t="s">
        <v>14</v>
      </c>
      <c r="M8" s="139" t="s">
        <v>20</v>
      </c>
      <c r="N8" s="140" t="s">
        <v>210</v>
      </c>
      <c r="O8" s="139" t="s">
        <v>193</v>
      </c>
      <c r="P8" s="139" t="s">
        <v>189</v>
      </c>
      <c r="Q8" s="141" t="s">
        <v>15</v>
      </c>
      <c r="R8" s="139" t="s">
        <v>13</v>
      </c>
      <c r="S8" s="139" t="s">
        <v>144</v>
      </c>
      <c r="T8" s="139" t="s">
        <v>147</v>
      </c>
      <c r="U8" s="139" t="s">
        <v>16</v>
      </c>
      <c r="V8" s="139" t="s">
        <v>167</v>
      </c>
      <c r="W8" s="139" t="s">
        <v>21</v>
      </c>
      <c r="X8" s="139" t="s">
        <v>22</v>
      </c>
      <c r="Y8" s="139" t="s">
        <v>176</v>
      </c>
      <c r="Z8" s="139" t="s">
        <v>6</v>
      </c>
      <c r="AA8" s="139" t="s">
        <v>169</v>
      </c>
      <c r="AB8" s="139" t="s">
        <v>7</v>
      </c>
      <c r="AC8" s="193" t="s">
        <v>8</v>
      </c>
      <c r="AD8" s="139" t="s">
        <v>145</v>
      </c>
      <c r="AE8" s="139" t="s">
        <v>146</v>
      </c>
      <c r="AF8" s="139" t="s">
        <v>125</v>
      </c>
      <c r="AG8" s="139" t="s">
        <v>148</v>
      </c>
      <c r="AH8" s="137" t="s">
        <v>168</v>
      </c>
      <c r="AI8" s="137" t="s">
        <v>9</v>
      </c>
      <c r="AJ8" s="142" t="s">
        <v>209</v>
      </c>
      <c r="AK8" s="143" t="s">
        <v>12</v>
      </c>
      <c r="AL8" s="137" t="s">
        <v>180</v>
      </c>
    </row>
    <row r="9" spans="1:38" ht="15" customHeight="1" x14ac:dyDescent="0.2">
      <c r="A9" s="144">
        <v>1</v>
      </c>
      <c r="B9" s="145"/>
      <c r="C9" s="107" t="s">
        <v>178</v>
      </c>
      <c r="D9" s="108">
        <v>45108</v>
      </c>
      <c r="E9" s="106" t="s">
        <v>141</v>
      </c>
      <c r="F9" s="109" t="s">
        <v>38</v>
      </c>
      <c r="G9" s="146"/>
      <c r="H9" s="188">
        <v>3</v>
      </c>
      <c r="I9" s="146"/>
      <c r="J9" s="146"/>
      <c r="K9" s="146"/>
      <c r="L9" s="146"/>
      <c r="M9" s="183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94">
        <v>4200</v>
      </c>
      <c r="AD9" s="146"/>
      <c r="AE9" s="146"/>
      <c r="AF9" s="146"/>
      <c r="AG9" s="146"/>
      <c r="AH9" s="106"/>
      <c r="AI9" s="106"/>
      <c r="AJ9" s="147"/>
      <c r="AK9" s="147"/>
      <c r="AL9" s="148"/>
    </row>
    <row r="10" spans="1:38" ht="15" customHeight="1" x14ac:dyDescent="0.2">
      <c r="A10" s="144">
        <v>2</v>
      </c>
      <c r="B10" s="145"/>
      <c r="C10" s="107" t="s">
        <v>188</v>
      </c>
      <c r="D10" s="108">
        <v>45108</v>
      </c>
      <c r="E10" s="106" t="s">
        <v>141</v>
      </c>
      <c r="F10" s="109" t="s">
        <v>158</v>
      </c>
      <c r="G10" s="146"/>
      <c r="H10" s="188">
        <v>3</v>
      </c>
      <c r="I10" s="146"/>
      <c r="J10" s="146"/>
      <c r="K10" s="146"/>
      <c r="L10" s="146"/>
      <c r="M10" s="183"/>
      <c r="N10" s="111"/>
      <c r="O10" s="106"/>
      <c r="P10" s="146"/>
      <c r="Q10" s="149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94">
        <v>443.25</v>
      </c>
      <c r="AD10" s="146"/>
      <c r="AE10" s="146"/>
      <c r="AF10" s="146"/>
      <c r="AG10" s="146"/>
      <c r="AH10" s="106"/>
      <c r="AI10" s="106"/>
      <c r="AJ10" s="147">
        <v>200</v>
      </c>
      <c r="AK10" s="147"/>
      <c r="AL10" s="148"/>
    </row>
    <row r="11" spans="1:38" ht="15" customHeight="1" x14ac:dyDescent="0.2">
      <c r="A11" s="144">
        <v>3</v>
      </c>
      <c r="B11" s="145"/>
      <c r="C11" s="107" t="s">
        <v>216</v>
      </c>
      <c r="D11" s="108">
        <v>45108</v>
      </c>
      <c r="E11" s="106" t="s">
        <v>141</v>
      </c>
      <c r="F11" s="109" t="s">
        <v>160</v>
      </c>
      <c r="G11" s="146"/>
      <c r="H11" s="188">
        <v>3</v>
      </c>
      <c r="I11" s="146"/>
      <c r="J11" s="146"/>
      <c r="K11" s="146"/>
      <c r="L11" s="146"/>
      <c r="M11" s="183"/>
      <c r="N11" s="111"/>
      <c r="O11" s="146"/>
      <c r="P11" s="146"/>
      <c r="Q11" s="151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94"/>
      <c r="AC11" s="195">
        <v>0</v>
      </c>
      <c r="AD11" s="146"/>
      <c r="AE11" s="146"/>
      <c r="AF11" s="146"/>
      <c r="AG11" s="146"/>
      <c r="AH11" s="106"/>
      <c r="AI11" s="150"/>
      <c r="AJ11" s="147"/>
      <c r="AK11" s="147"/>
      <c r="AL11" s="185"/>
    </row>
    <row r="12" spans="1:38" ht="15" customHeight="1" x14ac:dyDescent="0.2">
      <c r="A12" s="144">
        <v>4</v>
      </c>
      <c r="B12" s="145"/>
      <c r="C12" s="107" t="s">
        <v>164</v>
      </c>
      <c r="D12" s="108">
        <v>45108</v>
      </c>
      <c r="E12" s="106" t="s">
        <v>141</v>
      </c>
      <c r="F12" s="109" t="s">
        <v>162</v>
      </c>
      <c r="G12" s="146"/>
      <c r="H12" s="188">
        <v>3</v>
      </c>
      <c r="I12" s="146"/>
      <c r="J12" s="146"/>
      <c r="K12" s="146"/>
      <c r="L12" s="146"/>
      <c r="M12" s="183"/>
      <c r="N12" s="146"/>
      <c r="O12" s="146"/>
      <c r="P12" s="146"/>
      <c r="Q12" s="151"/>
      <c r="R12" s="149"/>
      <c r="S12" s="146"/>
      <c r="T12" s="146"/>
      <c r="U12" s="146"/>
      <c r="V12" s="146"/>
      <c r="W12" s="146"/>
      <c r="X12" s="146"/>
      <c r="Y12" s="146"/>
      <c r="Z12" s="146"/>
      <c r="AA12" s="146"/>
      <c r="AB12" s="194"/>
      <c r="AC12" s="195">
        <v>0</v>
      </c>
      <c r="AD12" s="146"/>
      <c r="AE12" s="146"/>
      <c r="AF12" s="146"/>
      <c r="AG12" s="146"/>
      <c r="AH12" s="106"/>
      <c r="AI12" s="150"/>
      <c r="AJ12" s="147"/>
      <c r="AK12" s="147"/>
      <c r="AL12" s="185"/>
    </row>
    <row r="13" spans="1:38" ht="15" customHeight="1" x14ac:dyDescent="0.2">
      <c r="A13" s="144">
        <v>5</v>
      </c>
      <c r="B13" s="145"/>
      <c r="C13" s="107" t="s">
        <v>188</v>
      </c>
      <c r="D13" s="108">
        <v>45108</v>
      </c>
      <c r="E13" s="106" t="s">
        <v>141</v>
      </c>
      <c r="F13" s="109" t="s">
        <v>163</v>
      </c>
      <c r="G13" s="146"/>
      <c r="H13" s="188">
        <v>3</v>
      </c>
      <c r="I13" s="146"/>
      <c r="J13" s="146"/>
      <c r="K13" s="146"/>
      <c r="L13" s="146"/>
      <c r="M13" s="183"/>
      <c r="N13" s="146"/>
      <c r="O13" s="146"/>
      <c r="P13" s="146"/>
      <c r="Q13" s="151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94"/>
      <c r="AC13" s="195">
        <v>0</v>
      </c>
      <c r="AD13" s="146"/>
      <c r="AE13" s="146"/>
      <c r="AF13" s="146"/>
      <c r="AG13" s="146"/>
      <c r="AH13" s="106"/>
      <c r="AI13" s="150"/>
      <c r="AJ13" s="147">
        <v>200</v>
      </c>
      <c r="AK13" s="147"/>
      <c r="AL13" s="148"/>
    </row>
    <row r="14" spans="1:38" ht="15" customHeight="1" x14ac:dyDescent="0.2">
      <c r="A14" s="144">
        <v>6</v>
      </c>
      <c r="B14" s="145"/>
      <c r="C14" s="107" t="s">
        <v>204</v>
      </c>
      <c r="D14" s="108">
        <v>45141</v>
      </c>
      <c r="E14" s="106" t="s">
        <v>141</v>
      </c>
      <c r="F14" s="109" t="s">
        <v>165</v>
      </c>
      <c r="G14" s="146"/>
      <c r="H14" s="188">
        <v>3</v>
      </c>
      <c r="I14" s="146"/>
      <c r="J14" s="146"/>
      <c r="K14" s="146"/>
      <c r="L14" s="146"/>
      <c r="M14" s="183"/>
      <c r="O14" s="146"/>
      <c r="P14" s="146"/>
      <c r="Q14" s="149"/>
      <c r="R14" s="106"/>
      <c r="S14" s="146"/>
      <c r="T14" s="146"/>
      <c r="U14" s="146"/>
      <c r="V14" s="146"/>
      <c r="W14" s="146"/>
      <c r="X14" s="146"/>
      <c r="Y14" s="146"/>
      <c r="Z14" s="146"/>
      <c r="AA14" s="146"/>
      <c r="AB14" s="194"/>
      <c r="AC14" s="195">
        <v>2479.5</v>
      </c>
      <c r="AD14" s="146"/>
      <c r="AE14" s="146"/>
      <c r="AF14" s="146"/>
      <c r="AG14" s="146"/>
      <c r="AH14" s="106"/>
      <c r="AI14" s="150"/>
      <c r="AJ14" s="147"/>
      <c r="AK14" s="147"/>
      <c r="AL14" s="148"/>
    </row>
    <row r="15" spans="1:38" ht="15" customHeight="1" x14ac:dyDescent="0.2">
      <c r="A15" s="144">
        <v>7</v>
      </c>
      <c r="B15" s="145"/>
      <c r="C15" s="107" t="s">
        <v>216</v>
      </c>
      <c r="D15" s="108">
        <v>45216</v>
      </c>
      <c r="E15" s="106" t="s">
        <v>141</v>
      </c>
      <c r="F15" s="109" t="s">
        <v>172</v>
      </c>
      <c r="G15" s="146"/>
      <c r="H15" s="188">
        <v>3</v>
      </c>
      <c r="I15" s="146"/>
      <c r="J15" s="146"/>
      <c r="K15" s="146"/>
      <c r="L15" s="146"/>
      <c r="M15" s="183"/>
      <c r="N15" s="151"/>
      <c r="O15" s="106"/>
      <c r="P15" s="146"/>
      <c r="Q15" s="151"/>
      <c r="R15" s="187">
        <v>1</v>
      </c>
      <c r="S15" s="146"/>
      <c r="T15" s="146"/>
      <c r="U15" s="146"/>
      <c r="V15" s="146"/>
      <c r="W15" s="146"/>
      <c r="X15" s="146"/>
      <c r="Y15" s="146"/>
      <c r="Z15" s="146"/>
      <c r="AA15" s="146"/>
      <c r="AB15" s="194"/>
      <c r="AC15" s="195">
        <v>0</v>
      </c>
      <c r="AD15" s="146"/>
      <c r="AE15" s="146"/>
      <c r="AF15" s="146"/>
      <c r="AG15" s="146"/>
      <c r="AH15" s="106"/>
      <c r="AI15" s="106"/>
      <c r="AJ15" s="147"/>
      <c r="AK15" s="147"/>
      <c r="AL15" s="148"/>
    </row>
    <row r="16" spans="1:38" ht="15" customHeight="1" x14ac:dyDescent="0.2">
      <c r="A16" s="144">
        <v>8</v>
      </c>
      <c r="B16" s="145"/>
      <c r="C16" s="107" t="s">
        <v>236</v>
      </c>
      <c r="D16" s="108">
        <v>45295</v>
      </c>
      <c r="E16" s="106" t="s">
        <v>141</v>
      </c>
      <c r="F16" s="109" t="s">
        <v>177</v>
      </c>
      <c r="G16" s="146"/>
      <c r="H16" s="188">
        <v>3</v>
      </c>
      <c r="I16" s="146"/>
      <c r="J16" s="146"/>
      <c r="K16" s="146"/>
      <c r="L16" s="146"/>
      <c r="M16" s="183"/>
      <c r="N16" s="111"/>
      <c r="O16" s="10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94"/>
      <c r="AC16" s="195">
        <v>484</v>
      </c>
      <c r="AD16" s="146"/>
      <c r="AE16" s="146"/>
      <c r="AF16" s="146"/>
      <c r="AG16" s="146"/>
      <c r="AH16" s="106"/>
      <c r="AI16" s="106"/>
      <c r="AJ16" s="147"/>
      <c r="AK16" s="147"/>
      <c r="AL16" s="148"/>
    </row>
    <row r="17" spans="1:38" ht="12.75" customHeight="1" x14ac:dyDescent="0.2">
      <c r="A17" s="144">
        <v>9</v>
      </c>
      <c r="C17" s="107" t="s">
        <v>188</v>
      </c>
      <c r="D17" s="108">
        <v>45513</v>
      </c>
      <c r="E17" s="106" t="s">
        <v>141</v>
      </c>
      <c r="F17" s="109" t="s">
        <v>187</v>
      </c>
      <c r="G17" s="111"/>
      <c r="H17" s="188">
        <v>3</v>
      </c>
      <c r="I17" s="111"/>
      <c r="J17" s="111"/>
      <c r="K17" s="106"/>
      <c r="L17" s="106"/>
      <c r="M17" s="183"/>
      <c r="O17" s="106"/>
      <c r="P17" s="111"/>
      <c r="Q17" s="177">
        <v>15</v>
      </c>
      <c r="R17" s="106"/>
      <c r="S17" s="106"/>
      <c r="T17" s="106"/>
      <c r="U17" s="106"/>
      <c r="V17" s="106"/>
      <c r="W17" s="152"/>
      <c r="X17" s="152"/>
      <c r="Y17" s="150"/>
      <c r="Z17" s="150"/>
      <c r="AA17" s="150"/>
      <c r="AB17" s="194"/>
      <c r="AC17" s="195">
        <v>0</v>
      </c>
      <c r="AD17" s="150"/>
      <c r="AE17" s="150"/>
      <c r="AF17" s="150"/>
      <c r="AG17" s="150"/>
      <c r="AH17" s="153"/>
      <c r="AI17" s="150"/>
      <c r="AJ17" s="147">
        <v>200</v>
      </c>
      <c r="AK17" s="154"/>
      <c r="AL17" s="150"/>
    </row>
    <row r="18" spans="1:38" ht="12.75" customHeight="1" x14ac:dyDescent="0.2">
      <c r="A18" s="144">
        <v>10</v>
      </c>
      <c r="B18" s="164"/>
      <c r="C18" s="107" t="s">
        <v>208</v>
      </c>
      <c r="D18" s="108">
        <v>45691</v>
      </c>
      <c r="E18" s="106" t="s">
        <v>141</v>
      </c>
      <c r="F18" s="107" t="s">
        <v>213</v>
      </c>
      <c r="G18" s="111"/>
      <c r="H18" s="188">
        <v>3</v>
      </c>
      <c r="I18" s="111"/>
      <c r="J18" s="111"/>
      <c r="K18" s="106"/>
      <c r="L18" s="106"/>
      <c r="M18" s="183"/>
      <c r="N18" s="111"/>
      <c r="O18" s="106"/>
      <c r="P18" s="106"/>
      <c r="R18" s="149"/>
      <c r="S18" s="106"/>
      <c r="T18" s="106"/>
      <c r="U18" s="106"/>
      <c r="V18" s="106"/>
      <c r="W18" s="152"/>
      <c r="X18" s="152"/>
      <c r="Y18" s="110"/>
      <c r="Z18" s="110"/>
      <c r="AA18" s="110"/>
      <c r="AB18" s="110"/>
      <c r="AC18" s="196">
        <v>0</v>
      </c>
      <c r="AD18" s="110"/>
      <c r="AE18" s="110"/>
      <c r="AF18" s="165"/>
      <c r="AG18" s="165"/>
      <c r="AH18" s="110"/>
      <c r="AI18" s="110"/>
      <c r="AJ18" s="147">
        <v>200</v>
      </c>
      <c r="AK18" s="166"/>
      <c r="AL18" s="110"/>
    </row>
    <row r="19" spans="1:38" ht="12.75" customHeight="1" x14ac:dyDescent="0.2">
      <c r="A19" s="144">
        <v>11</v>
      </c>
      <c r="B19" s="155"/>
      <c r="C19" s="107" t="s">
        <v>208</v>
      </c>
      <c r="D19" s="108">
        <v>45726</v>
      </c>
      <c r="E19" s="156" t="s">
        <v>141</v>
      </c>
      <c r="F19" s="157" t="s">
        <v>215</v>
      </c>
      <c r="G19" s="158"/>
      <c r="H19" s="188">
        <v>3</v>
      </c>
      <c r="I19" s="158"/>
      <c r="J19" s="158"/>
      <c r="K19" s="156"/>
      <c r="L19" s="156"/>
      <c r="M19" s="183"/>
      <c r="N19" s="111"/>
      <c r="O19" s="106"/>
      <c r="P19" s="106"/>
      <c r="Q19" s="106"/>
      <c r="R19" s="159"/>
      <c r="S19" s="156"/>
      <c r="T19" s="156"/>
      <c r="U19" s="156"/>
      <c r="V19" s="156"/>
      <c r="W19" s="160"/>
      <c r="X19" s="160"/>
      <c r="Y19" s="161"/>
      <c r="Z19" s="161"/>
      <c r="AA19" s="161"/>
      <c r="AB19" s="161"/>
      <c r="AC19" s="197">
        <v>0</v>
      </c>
      <c r="AD19" s="161"/>
      <c r="AE19" s="161"/>
      <c r="AF19" s="162"/>
      <c r="AG19" s="162"/>
      <c r="AH19" s="161"/>
      <c r="AI19" s="161"/>
      <c r="AJ19" s="147">
        <v>200</v>
      </c>
      <c r="AK19" s="163"/>
      <c r="AL19" s="161"/>
    </row>
    <row r="20" spans="1:38" ht="12.75" customHeight="1" x14ac:dyDescent="0.2">
      <c r="A20" s="144">
        <v>12</v>
      </c>
      <c r="B20" s="164"/>
      <c r="C20" s="107" t="s">
        <v>216</v>
      </c>
      <c r="D20" s="108">
        <v>45789</v>
      </c>
      <c r="E20" s="106" t="s">
        <v>141</v>
      </c>
      <c r="F20" s="107" t="s">
        <v>223</v>
      </c>
      <c r="G20" s="111"/>
      <c r="H20" s="188">
        <v>3</v>
      </c>
      <c r="I20" s="111"/>
      <c r="J20" s="111"/>
      <c r="K20" s="106"/>
      <c r="L20" s="106"/>
      <c r="M20" s="111"/>
      <c r="N20" s="111"/>
      <c r="O20" s="106"/>
      <c r="P20" s="106"/>
      <c r="Q20" s="106"/>
      <c r="R20" s="106"/>
      <c r="S20" s="146"/>
      <c r="T20" s="177">
        <v>20</v>
      </c>
      <c r="U20" s="106"/>
      <c r="V20" s="106"/>
      <c r="W20" s="152"/>
      <c r="X20" s="152"/>
      <c r="Y20" s="110"/>
      <c r="Z20" s="110"/>
      <c r="AA20" s="110"/>
      <c r="AB20" s="110"/>
      <c r="AC20" s="196">
        <v>0</v>
      </c>
      <c r="AD20" s="110"/>
      <c r="AE20" s="110"/>
      <c r="AF20" s="165"/>
      <c r="AG20" s="165"/>
      <c r="AH20" s="110"/>
      <c r="AI20" s="110"/>
      <c r="AJ20" s="147"/>
      <c r="AK20" s="166"/>
      <c r="AL20" s="110"/>
    </row>
    <row r="21" spans="1:38" ht="15" x14ac:dyDescent="0.2">
      <c r="A21" s="144">
        <v>14</v>
      </c>
      <c r="B21" s="164"/>
      <c r="C21" s="107" t="s">
        <v>208</v>
      </c>
      <c r="D21" s="108">
        <v>45817</v>
      </c>
      <c r="E21" s="106" t="s">
        <v>141</v>
      </c>
      <c r="F21" s="107" t="s">
        <v>234</v>
      </c>
      <c r="G21" s="111"/>
      <c r="H21" s="188">
        <v>3</v>
      </c>
      <c r="I21" s="111"/>
      <c r="J21" s="111"/>
      <c r="K21" s="106"/>
      <c r="L21" s="106"/>
      <c r="M21" s="183"/>
      <c r="N21" s="111"/>
      <c r="O21" s="106"/>
      <c r="P21" s="106"/>
      <c r="Q21" s="106"/>
      <c r="R21" s="106"/>
      <c r="S21" s="106"/>
      <c r="T21" s="106"/>
      <c r="U21" s="106"/>
      <c r="V21" s="106"/>
      <c r="W21" s="152"/>
      <c r="X21" s="152"/>
      <c r="Y21" s="110"/>
      <c r="Z21" s="110"/>
      <c r="AA21" s="110"/>
      <c r="AB21" s="110"/>
      <c r="AC21" s="196">
        <v>4504.5</v>
      </c>
      <c r="AD21" s="110"/>
      <c r="AE21" s="110"/>
      <c r="AF21" s="165"/>
      <c r="AG21" s="165"/>
      <c r="AH21" s="110"/>
      <c r="AI21" s="110"/>
      <c r="AJ21" s="147">
        <v>200</v>
      </c>
      <c r="AK21" s="110"/>
      <c r="AL21" s="110"/>
    </row>
    <row r="22" spans="1:38" ht="15" x14ac:dyDescent="0.2">
      <c r="A22" s="144">
        <v>15</v>
      </c>
      <c r="B22" s="164"/>
      <c r="C22" s="107" t="s">
        <v>286</v>
      </c>
      <c r="D22" s="108">
        <v>45839</v>
      </c>
      <c r="E22" s="106" t="s">
        <v>141</v>
      </c>
      <c r="F22" s="107" t="s">
        <v>243</v>
      </c>
      <c r="G22" s="111"/>
      <c r="H22" s="188">
        <v>3</v>
      </c>
      <c r="I22" s="111"/>
      <c r="J22" s="111"/>
      <c r="K22" s="106"/>
      <c r="L22" s="106"/>
      <c r="M22" s="183"/>
      <c r="N22" s="111"/>
      <c r="O22" s="106"/>
      <c r="P22" s="106"/>
      <c r="Q22" s="106"/>
      <c r="R22" s="106"/>
      <c r="S22" s="106"/>
      <c r="T22" s="106"/>
      <c r="U22" s="106"/>
      <c r="V22" s="106"/>
      <c r="W22" s="152"/>
      <c r="X22" s="152"/>
      <c r="Y22" s="110"/>
      <c r="Z22" s="110"/>
      <c r="AA22" s="110"/>
      <c r="AB22" s="110"/>
      <c r="AC22" s="196">
        <v>3282</v>
      </c>
      <c r="AD22" s="110"/>
      <c r="AE22" s="110"/>
      <c r="AF22" s="165"/>
      <c r="AG22" s="165"/>
      <c r="AH22" s="110"/>
      <c r="AI22" s="186"/>
      <c r="AJ22" s="106"/>
      <c r="AK22" s="167"/>
      <c r="AL22" s="189"/>
    </row>
    <row r="23" spans="1:38" ht="15" x14ac:dyDescent="0.2">
      <c r="A23" s="144">
        <v>16</v>
      </c>
      <c r="B23" s="164"/>
      <c r="C23" s="107" t="s">
        <v>188</v>
      </c>
      <c r="D23" s="108">
        <v>45880</v>
      </c>
      <c r="E23" s="106" t="s">
        <v>141</v>
      </c>
      <c r="F23" s="107" t="s">
        <v>246</v>
      </c>
      <c r="G23" s="111"/>
      <c r="H23" s="188">
        <v>3</v>
      </c>
      <c r="I23" s="111"/>
      <c r="J23" s="111"/>
      <c r="K23" s="106"/>
      <c r="L23" s="106"/>
      <c r="M23" s="183"/>
      <c r="O23" s="106"/>
      <c r="P23" s="106"/>
      <c r="Q23" s="106"/>
      <c r="R23" s="106"/>
      <c r="S23" s="106"/>
      <c r="T23" s="106"/>
      <c r="U23" s="106"/>
      <c r="V23" s="106"/>
      <c r="W23" s="152"/>
      <c r="X23" s="152"/>
      <c r="Y23" s="110"/>
      <c r="Z23" s="110"/>
      <c r="AA23" s="110"/>
      <c r="AB23" s="110"/>
      <c r="AC23" s="196">
        <v>0</v>
      </c>
      <c r="AD23" s="110"/>
      <c r="AE23" s="110"/>
      <c r="AF23" s="165"/>
      <c r="AG23" s="165"/>
      <c r="AH23" s="110"/>
      <c r="AI23" s="110"/>
      <c r="AJ23" s="106">
        <v>200</v>
      </c>
      <c r="AK23" s="167"/>
      <c r="AL23" s="110"/>
    </row>
    <row r="24" spans="1:38" ht="15" x14ac:dyDescent="0.2">
      <c r="A24" s="144">
        <v>17</v>
      </c>
      <c r="B24" s="164"/>
      <c r="C24" s="107" t="s">
        <v>208</v>
      </c>
      <c r="D24" s="108">
        <v>45901</v>
      </c>
      <c r="E24" s="106" t="s">
        <v>141</v>
      </c>
      <c r="F24" s="107" t="s">
        <v>249</v>
      </c>
      <c r="G24" s="111"/>
      <c r="H24" s="188">
        <v>3</v>
      </c>
      <c r="I24" s="111"/>
      <c r="J24" s="111"/>
      <c r="K24" s="106"/>
      <c r="L24" s="106"/>
      <c r="M24" s="183"/>
      <c r="N24" s="111"/>
      <c r="O24" s="106"/>
      <c r="P24" s="106"/>
      <c r="Q24" s="106"/>
      <c r="R24" s="106"/>
      <c r="S24" s="106"/>
      <c r="T24" s="106"/>
      <c r="U24" s="106"/>
      <c r="V24" s="106"/>
      <c r="W24" s="152"/>
      <c r="X24" s="152"/>
      <c r="Y24" s="110"/>
      <c r="Z24" s="110"/>
      <c r="AA24" s="110"/>
      <c r="AB24" s="110"/>
      <c r="AC24" s="196">
        <v>3032</v>
      </c>
      <c r="AD24" s="110"/>
      <c r="AE24" s="110"/>
      <c r="AF24" s="165"/>
      <c r="AG24" s="165"/>
      <c r="AH24" s="110"/>
      <c r="AI24" s="110"/>
      <c r="AJ24" s="106">
        <v>200</v>
      </c>
      <c r="AK24" s="167"/>
      <c r="AL24" s="110"/>
    </row>
    <row r="25" spans="1:38" ht="15" x14ac:dyDescent="0.2">
      <c r="A25" s="144">
        <v>19</v>
      </c>
      <c r="B25" s="175"/>
      <c r="C25" s="107" t="s">
        <v>258</v>
      </c>
      <c r="D25" s="108">
        <v>45962</v>
      </c>
      <c r="E25" s="106" t="s">
        <v>141</v>
      </c>
      <c r="F25" s="107" t="s">
        <v>171</v>
      </c>
      <c r="G25" s="111"/>
      <c r="H25" s="188">
        <v>3</v>
      </c>
      <c r="I25" s="111"/>
      <c r="J25" s="111"/>
      <c r="K25" s="106"/>
      <c r="L25" s="106"/>
      <c r="M25" s="183"/>
      <c r="O25" s="106"/>
      <c r="P25" s="106"/>
      <c r="Q25" s="106"/>
      <c r="R25" s="106"/>
      <c r="S25" s="106"/>
      <c r="T25" s="106"/>
      <c r="U25" s="106"/>
      <c r="V25" s="106"/>
      <c r="W25" s="152"/>
      <c r="X25" s="152"/>
      <c r="Y25" s="110"/>
      <c r="Z25" s="110"/>
      <c r="AA25" s="110"/>
      <c r="AB25" s="110"/>
      <c r="AC25" s="196">
        <v>0</v>
      </c>
      <c r="AD25" s="110"/>
      <c r="AE25" s="110"/>
      <c r="AF25" s="165"/>
      <c r="AG25" s="165"/>
      <c r="AH25" s="110"/>
      <c r="AI25" s="110"/>
      <c r="AJ25" s="168"/>
      <c r="AK25" s="167"/>
      <c r="AL25" s="110"/>
    </row>
    <row r="26" spans="1:38" ht="15" x14ac:dyDescent="0.2">
      <c r="A26" s="144">
        <v>20</v>
      </c>
      <c r="B26" s="175"/>
      <c r="C26" s="107" t="s">
        <v>208</v>
      </c>
      <c r="D26" s="108">
        <v>45975</v>
      </c>
      <c r="E26" s="106" t="s">
        <v>141</v>
      </c>
      <c r="F26" s="107" t="s">
        <v>211</v>
      </c>
      <c r="G26" s="111"/>
      <c r="H26" s="188">
        <v>3</v>
      </c>
      <c r="I26" s="111"/>
      <c r="J26" s="111"/>
      <c r="K26" s="106"/>
      <c r="L26" s="106"/>
      <c r="M26" s="183"/>
      <c r="N26" s="111"/>
      <c r="O26" s="106"/>
      <c r="P26" s="106"/>
      <c r="Q26" s="106"/>
      <c r="R26" s="106"/>
      <c r="S26" s="106"/>
      <c r="T26" s="106"/>
      <c r="U26" s="106"/>
      <c r="V26" s="106"/>
      <c r="W26" s="152"/>
      <c r="X26" s="152"/>
      <c r="Y26" s="110"/>
      <c r="Z26" s="110"/>
      <c r="AA26" s="110"/>
      <c r="AB26" s="110"/>
      <c r="AC26" s="196">
        <v>0</v>
      </c>
      <c r="AD26" s="110"/>
      <c r="AE26" s="110"/>
      <c r="AF26" s="165"/>
      <c r="AG26" s="165"/>
      <c r="AH26" s="110"/>
      <c r="AI26" s="110"/>
      <c r="AJ26" s="168">
        <v>200</v>
      </c>
      <c r="AK26" s="167"/>
      <c r="AL26" s="110"/>
    </row>
    <row r="27" spans="1:38" ht="12" customHeight="1" x14ac:dyDescent="0.2">
      <c r="A27" s="144">
        <v>21</v>
      </c>
      <c r="B27" s="175"/>
      <c r="C27" s="107" t="s">
        <v>208</v>
      </c>
      <c r="D27" s="108">
        <v>45992</v>
      </c>
      <c r="E27" s="106" t="s">
        <v>141</v>
      </c>
      <c r="F27" s="107" t="s">
        <v>264</v>
      </c>
      <c r="G27" s="111"/>
      <c r="H27" s="188">
        <v>3</v>
      </c>
      <c r="I27" s="111"/>
      <c r="J27" s="111"/>
      <c r="K27" s="106"/>
      <c r="L27" s="106"/>
      <c r="M27" s="183"/>
      <c r="N27" s="111"/>
      <c r="O27" s="106"/>
      <c r="P27" s="106"/>
      <c r="Q27" s="106"/>
      <c r="R27" s="106"/>
      <c r="S27" s="106"/>
      <c r="T27" s="106"/>
      <c r="U27" s="106"/>
      <c r="V27" s="106"/>
      <c r="W27" s="152"/>
      <c r="X27" s="152"/>
      <c r="Y27" s="110"/>
      <c r="Z27" s="110"/>
      <c r="AA27" s="110"/>
      <c r="AB27" s="110"/>
      <c r="AC27" s="196">
        <v>0</v>
      </c>
      <c r="AD27" s="110"/>
      <c r="AE27" s="110"/>
      <c r="AF27" s="165"/>
      <c r="AG27" s="165"/>
      <c r="AH27" s="110"/>
      <c r="AI27" s="110"/>
      <c r="AJ27" s="168">
        <v>200</v>
      </c>
      <c r="AK27" s="167"/>
      <c r="AL27" s="110"/>
    </row>
    <row r="28" spans="1:38" ht="15" x14ac:dyDescent="0.2">
      <c r="A28" s="144">
        <v>22</v>
      </c>
      <c r="B28" s="175"/>
      <c r="C28" s="107" t="s">
        <v>208</v>
      </c>
      <c r="D28" s="108">
        <v>45992</v>
      </c>
      <c r="E28" s="106" t="s">
        <v>141</v>
      </c>
      <c r="F28" s="107" t="s">
        <v>270</v>
      </c>
      <c r="G28" s="111"/>
      <c r="H28" s="188">
        <v>3</v>
      </c>
      <c r="I28" s="111"/>
      <c r="J28" s="111"/>
      <c r="K28" s="106"/>
      <c r="L28" s="106"/>
      <c r="M28" s="111"/>
      <c r="N28" s="111"/>
      <c r="O28" s="106"/>
      <c r="P28" s="106"/>
      <c r="Q28" s="106"/>
      <c r="R28" s="106"/>
      <c r="S28" s="106"/>
      <c r="T28" s="106"/>
      <c r="U28" s="106"/>
      <c r="V28" s="106"/>
      <c r="W28" s="152"/>
      <c r="X28" s="152"/>
      <c r="Y28" s="110"/>
      <c r="Z28" s="110"/>
      <c r="AA28" s="110"/>
      <c r="AB28" s="110"/>
      <c r="AC28" s="196">
        <v>0</v>
      </c>
      <c r="AD28" s="110"/>
      <c r="AE28" s="110"/>
      <c r="AF28" s="165"/>
      <c r="AG28" s="165"/>
      <c r="AH28" s="110"/>
      <c r="AI28" s="110"/>
      <c r="AJ28" s="168">
        <v>200</v>
      </c>
      <c r="AK28" s="167"/>
      <c r="AL28" s="110"/>
    </row>
    <row r="29" spans="1:38" ht="15" x14ac:dyDescent="0.2">
      <c r="A29" s="144">
        <v>23</v>
      </c>
      <c r="B29" s="175"/>
      <c r="C29" s="107" t="s">
        <v>188</v>
      </c>
      <c r="D29" s="108">
        <v>45995</v>
      </c>
      <c r="E29" s="106" t="s">
        <v>141</v>
      </c>
      <c r="F29" s="107" t="s">
        <v>263</v>
      </c>
      <c r="G29" s="111"/>
      <c r="H29" s="188">
        <v>3</v>
      </c>
      <c r="I29" s="111"/>
      <c r="J29" s="111"/>
      <c r="K29" s="106"/>
      <c r="L29" s="106"/>
      <c r="M29" s="183"/>
      <c r="O29" s="106"/>
      <c r="P29" s="106"/>
      <c r="Q29" s="106"/>
      <c r="R29" s="106"/>
      <c r="S29" s="106"/>
      <c r="T29" s="106"/>
      <c r="U29" s="106"/>
      <c r="V29" s="106"/>
      <c r="W29" s="152"/>
      <c r="X29" s="152"/>
      <c r="Y29" s="110"/>
      <c r="Z29" s="110"/>
      <c r="AA29" s="110"/>
      <c r="AB29" s="110"/>
      <c r="AC29" s="196">
        <v>0</v>
      </c>
      <c r="AD29" s="110"/>
      <c r="AE29" s="110"/>
      <c r="AF29" s="165"/>
      <c r="AG29" s="165"/>
      <c r="AH29" s="110"/>
      <c r="AI29" s="110"/>
      <c r="AJ29" s="168">
        <v>200</v>
      </c>
      <c r="AK29" s="167"/>
      <c r="AL29" s="110"/>
    </row>
    <row r="30" spans="1:38" ht="15" x14ac:dyDescent="0.2">
      <c r="A30" s="144">
        <v>24</v>
      </c>
      <c r="B30" s="175"/>
      <c r="C30" s="107" t="s">
        <v>185</v>
      </c>
      <c r="D30" s="108">
        <v>46027</v>
      </c>
      <c r="E30" s="106" t="s">
        <v>141</v>
      </c>
      <c r="F30" s="107" t="s">
        <v>292</v>
      </c>
      <c r="G30" s="111"/>
      <c r="H30" s="188">
        <v>3</v>
      </c>
      <c r="I30" s="111"/>
      <c r="J30" s="111"/>
      <c r="K30" s="106"/>
      <c r="L30" s="106"/>
      <c r="M30" s="183"/>
      <c r="N30" s="111"/>
      <c r="O30" s="106"/>
      <c r="P30" s="106"/>
      <c r="Q30" s="106"/>
      <c r="R30" s="106"/>
      <c r="S30" s="106"/>
      <c r="T30" s="106"/>
      <c r="U30" s="106"/>
      <c r="V30" s="106"/>
      <c r="W30" s="152"/>
      <c r="X30" s="152"/>
      <c r="Y30" s="110"/>
      <c r="Z30" s="110"/>
      <c r="AA30" s="110"/>
      <c r="AB30" s="110"/>
      <c r="AC30" s="196">
        <v>0</v>
      </c>
      <c r="AD30" s="110"/>
      <c r="AE30" s="110"/>
      <c r="AF30" s="165"/>
      <c r="AG30" s="165"/>
      <c r="AH30" s="110"/>
      <c r="AI30" s="110"/>
      <c r="AJ30" s="168"/>
      <c r="AK30" s="167"/>
      <c r="AL30" s="110"/>
    </row>
    <row r="31" spans="1:38" ht="15" x14ac:dyDescent="0.2">
      <c r="A31" s="144">
        <v>25</v>
      </c>
      <c r="B31" s="175"/>
      <c r="C31" s="107" t="s">
        <v>208</v>
      </c>
      <c r="D31" s="108">
        <v>46027</v>
      </c>
      <c r="E31" s="106" t="s">
        <v>141</v>
      </c>
      <c r="F31" s="107" t="s">
        <v>182</v>
      </c>
      <c r="G31" s="111"/>
      <c r="H31" s="188">
        <v>3</v>
      </c>
      <c r="I31" s="111"/>
      <c r="J31" s="111"/>
      <c r="K31" s="106"/>
      <c r="L31" s="106"/>
      <c r="M31" s="183"/>
      <c r="N31" s="111"/>
      <c r="O31" s="106"/>
      <c r="P31" s="106"/>
      <c r="Q31" s="106"/>
      <c r="R31" s="106"/>
      <c r="S31" s="106"/>
      <c r="T31" s="106"/>
      <c r="U31" s="106"/>
      <c r="V31" s="106"/>
      <c r="W31" s="152"/>
      <c r="X31" s="152"/>
      <c r="Y31" s="110"/>
      <c r="Z31" s="110"/>
      <c r="AA31" s="110"/>
      <c r="AB31" s="110"/>
      <c r="AC31" s="196">
        <v>742</v>
      </c>
      <c r="AD31" s="110"/>
      <c r="AE31" s="110"/>
      <c r="AF31" s="165"/>
      <c r="AG31" s="165"/>
      <c r="AH31" s="110"/>
      <c r="AI31" s="110"/>
      <c r="AJ31" s="168">
        <v>200</v>
      </c>
      <c r="AK31" s="167"/>
      <c r="AL31" s="110"/>
    </row>
    <row r="32" spans="1:38" s="213" customFormat="1" ht="15" x14ac:dyDescent="0.2">
      <c r="A32" s="200">
        <v>26</v>
      </c>
      <c r="B32" s="201"/>
      <c r="C32" s="202" t="s">
        <v>208</v>
      </c>
      <c r="D32" s="203">
        <v>46056</v>
      </c>
      <c r="E32" s="182" t="s">
        <v>179</v>
      </c>
      <c r="F32" s="202" t="s">
        <v>274</v>
      </c>
      <c r="G32" s="204">
        <v>46209</v>
      </c>
      <c r="H32" s="205"/>
      <c r="I32" s="205"/>
      <c r="J32" s="205"/>
      <c r="K32" s="182"/>
      <c r="L32" s="182"/>
      <c r="M32" s="206"/>
      <c r="N32" s="205"/>
      <c r="O32" s="182"/>
      <c r="P32" s="182"/>
      <c r="Q32" s="182"/>
      <c r="R32" s="182"/>
      <c r="S32" s="182"/>
      <c r="T32" s="182"/>
      <c r="U32" s="182"/>
      <c r="V32" s="182"/>
      <c r="W32" s="207"/>
      <c r="X32" s="207"/>
      <c r="Y32" s="208"/>
      <c r="Z32" s="208"/>
      <c r="AA32" s="208"/>
      <c r="AB32" s="208"/>
      <c r="AC32" s="209">
        <v>0</v>
      </c>
      <c r="AD32" s="208"/>
      <c r="AE32" s="208"/>
      <c r="AF32" s="210"/>
      <c r="AG32" s="210"/>
      <c r="AH32" s="208"/>
      <c r="AI32" s="208"/>
      <c r="AJ32" s="211">
        <v>200</v>
      </c>
      <c r="AK32" s="212"/>
      <c r="AL32" s="208"/>
    </row>
    <row r="33" spans="1:38" ht="15" x14ac:dyDescent="0.2">
      <c r="A33" s="144">
        <v>27</v>
      </c>
      <c r="B33" s="175"/>
      <c r="C33" s="107" t="s">
        <v>188</v>
      </c>
      <c r="D33" s="108">
        <v>46056</v>
      </c>
      <c r="E33" s="106" t="s">
        <v>141</v>
      </c>
      <c r="F33" s="107" t="s">
        <v>275</v>
      </c>
      <c r="G33" s="111"/>
      <c r="H33" s="188">
        <v>3</v>
      </c>
      <c r="I33" s="111"/>
      <c r="J33" s="111"/>
      <c r="K33" s="106"/>
      <c r="L33" s="106"/>
      <c r="M33" s="183"/>
      <c r="N33" s="111"/>
      <c r="O33" s="106"/>
      <c r="P33" s="106"/>
      <c r="Q33" s="106"/>
      <c r="R33" s="106"/>
      <c r="S33" s="106"/>
      <c r="T33" s="106"/>
      <c r="U33" s="106"/>
      <c r="V33" s="106"/>
      <c r="W33" s="152"/>
      <c r="X33" s="152"/>
      <c r="Y33" s="110"/>
      <c r="Z33" s="110"/>
      <c r="AA33" s="110"/>
      <c r="AB33" s="110"/>
      <c r="AC33" s="196">
        <v>0</v>
      </c>
      <c r="AD33" s="110"/>
      <c r="AE33" s="110"/>
      <c r="AF33" s="165"/>
      <c r="AG33" s="165"/>
      <c r="AH33" s="110"/>
      <c r="AI33" s="110"/>
      <c r="AJ33" s="168">
        <v>200</v>
      </c>
      <c r="AK33" s="167"/>
      <c r="AL33" s="110"/>
    </row>
    <row r="34" spans="1:38" ht="15" x14ac:dyDescent="0.2">
      <c r="A34" s="144">
        <v>28</v>
      </c>
      <c r="B34" s="175"/>
      <c r="C34" s="107" t="s">
        <v>208</v>
      </c>
      <c r="D34" s="108">
        <v>46065</v>
      </c>
      <c r="E34" s="106" t="s">
        <v>141</v>
      </c>
      <c r="F34" s="107" t="s">
        <v>287</v>
      </c>
      <c r="G34" s="111"/>
      <c r="H34" s="188">
        <v>3</v>
      </c>
      <c r="I34" s="111"/>
      <c r="J34" s="111"/>
      <c r="K34" s="106"/>
      <c r="L34" s="106"/>
      <c r="M34" s="183"/>
      <c r="N34" s="111"/>
      <c r="O34" s="106"/>
      <c r="P34" s="106"/>
      <c r="Q34" s="106"/>
      <c r="R34" s="106"/>
      <c r="S34" s="106"/>
      <c r="T34" s="106"/>
      <c r="U34" s="106"/>
      <c r="V34" s="106"/>
      <c r="W34" s="152"/>
      <c r="X34" s="152"/>
      <c r="Y34" s="110"/>
      <c r="Z34" s="110"/>
      <c r="AA34" s="110"/>
      <c r="AB34" s="110"/>
      <c r="AC34" s="196">
        <v>383</v>
      </c>
      <c r="AD34" s="110"/>
      <c r="AE34" s="110"/>
      <c r="AF34" s="165"/>
      <c r="AG34" s="165"/>
      <c r="AH34" s="110"/>
      <c r="AI34" s="110"/>
      <c r="AJ34" s="168">
        <v>200</v>
      </c>
      <c r="AK34" s="167"/>
      <c r="AL34" s="110"/>
    </row>
    <row r="35" spans="1:38" s="213" customFormat="1" ht="15" x14ac:dyDescent="0.2">
      <c r="A35" s="200">
        <v>29</v>
      </c>
      <c r="B35" s="201"/>
      <c r="C35" s="202" t="s">
        <v>208</v>
      </c>
      <c r="D35" s="203">
        <v>46084</v>
      </c>
      <c r="E35" s="182" t="s">
        <v>179</v>
      </c>
      <c r="F35" s="202" t="s">
        <v>277</v>
      </c>
      <c r="G35" s="204">
        <v>46209</v>
      </c>
      <c r="H35" s="205"/>
      <c r="I35" s="205"/>
      <c r="J35" s="205"/>
      <c r="K35" s="182"/>
      <c r="L35" s="182"/>
      <c r="M35" s="206"/>
      <c r="N35" s="205"/>
      <c r="O35" s="182"/>
      <c r="P35" s="182"/>
      <c r="Q35" s="182"/>
      <c r="R35" s="182"/>
      <c r="S35" s="182"/>
      <c r="T35" s="182"/>
      <c r="U35" s="182"/>
      <c r="V35" s="182"/>
      <c r="W35" s="207"/>
      <c r="X35" s="207"/>
      <c r="Y35" s="208"/>
      <c r="Z35" s="208"/>
      <c r="AA35" s="208"/>
      <c r="AB35" s="208"/>
      <c r="AC35" s="209">
        <v>0</v>
      </c>
      <c r="AD35" s="208"/>
      <c r="AE35" s="208"/>
      <c r="AF35" s="210"/>
      <c r="AG35" s="210"/>
      <c r="AH35" s="208"/>
      <c r="AI35" s="208"/>
      <c r="AJ35" s="211">
        <v>200</v>
      </c>
      <c r="AK35" s="212"/>
      <c r="AL35" s="208"/>
    </row>
    <row r="36" spans="1:38" ht="15" x14ac:dyDescent="0.2">
      <c r="A36" s="144">
        <v>30</v>
      </c>
      <c r="B36" s="175"/>
      <c r="C36" s="107" t="s">
        <v>208</v>
      </c>
      <c r="D36" s="108">
        <v>46084</v>
      </c>
      <c r="E36" s="106" t="s">
        <v>141</v>
      </c>
      <c r="F36" s="107" t="s">
        <v>276</v>
      </c>
      <c r="G36" s="111"/>
      <c r="H36" s="188">
        <v>3</v>
      </c>
      <c r="I36" s="111"/>
      <c r="J36" s="111"/>
      <c r="K36" s="106"/>
      <c r="L36" s="106"/>
      <c r="M36" s="183"/>
      <c r="N36" s="111"/>
      <c r="O36" s="106"/>
      <c r="P36" s="111"/>
      <c r="Q36" s="106"/>
      <c r="R36" s="106"/>
      <c r="S36" s="106"/>
      <c r="T36" s="106"/>
      <c r="U36" s="106"/>
      <c r="V36" s="106"/>
      <c r="W36" s="152"/>
      <c r="X36" s="152"/>
      <c r="Y36" s="110"/>
      <c r="Z36" s="110"/>
      <c r="AA36" s="110"/>
      <c r="AB36" s="110"/>
      <c r="AC36" s="196">
        <v>2079</v>
      </c>
      <c r="AD36" s="110"/>
      <c r="AE36" s="110"/>
      <c r="AF36" s="165"/>
      <c r="AG36" s="165"/>
      <c r="AH36" s="110"/>
      <c r="AI36" s="110"/>
      <c r="AJ36" s="168">
        <v>200</v>
      </c>
      <c r="AK36" s="167"/>
      <c r="AL36" s="110"/>
    </row>
    <row r="37" spans="1:38" ht="15" x14ac:dyDescent="0.2">
      <c r="A37" s="144">
        <v>31</v>
      </c>
      <c r="B37" s="175"/>
      <c r="C37" s="107" t="s">
        <v>208</v>
      </c>
      <c r="D37" s="108">
        <v>46084</v>
      </c>
      <c r="E37" s="106" t="s">
        <v>141</v>
      </c>
      <c r="F37" s="107" t="s">
        <v>278</v>
      </c>
      <c r="G37" s="111"/>
      <c r="H37" s="188">
        <v>3</v>
      </c>
      <c r="I37" s="111"/>
      <c r="J37" s="111"/>
      <c r="K37" s="106"/>
      <c r="L37" s="106"/>
      <c r="M37" s="183"/>
      <c r="N37" s="111"/>
      <c r="O37" s="106"/>
      <c r="P37" s="106"/>
      <c r="Q37" s="106"/>
      <c r="R37" s="106"/>
      <c r="S37" s="106"/>
      <c r="T37" s="106"/>
      <c r="U37" s="106"/>
      <c r="V37" s="106"/>
      <c r="W37" s="152"/>
      <c r="X37" s="152"/>
      <c r="Y37" s="110"/>
      <c r="Z37" s="110"/>
      <c r="AA37" s="110"/>
      <c r="AB37" s="110"/>
      <c r="AC37" s="196">
        <v>1932.6</v>
      </c>
      <c r="AD37" s="110"/>
      <c r="AE37" s="110"/>
      <c r="AF37" s="165"/>
      <c r="AG37" s="165"/>
      <c r="AH37" s="110"/>
      <c r="AI37" s="110"/>
      <c r="AJ37" s="168">
        <v>200</v>
      </c>
      <c r="AK37" s="167"/>
      <c r="AL37" s="110"/>
    </row>
    <row r="38" spans="1:38" ht="15" x14ac:dyDescent="0.2">
      <c r="A38" s="144">
        <v>32</v>
      </c>
      <c r="B38" s="175"/>
      <c r="C38" s="107" t="s">
        <v>208</v>
      </c>
      <c r="D38" s="108">
        <v>46118</v>
      </c>
      <c r="E38" s="106" t="s">
        <v>141</v>
      </c>
      <c r="F38" s="107" t="s">
        <v>280</v>
      </c>
      <c r="G38" s="111"/>
      <c r="H38" s="188">
        <v>3</v>
      </c>
      <c r="I38" s="111"/>
      <c r="J38" s="111"/>
      <c r="K38" s="106"/>
      <c r="L38" s="106"/>
      <c r="M38" s="183"/>
      <c r="N38" s="111"/>
      <c r="O38" s="106"/>
      <c r="P38" s="106"/>
      <c r="Q38" s="106"/>
      <c r="R38" s="106"/>
      <c r="S38" s="106"/>
      <c r="T38" s="106"/>
      <c r="U38" s="106"/>
      <c r="V38" s="106"/>
      <c r="W38" s="152"/>
      <c r="X38" s="152"/>
      <c r="Y38" s="110"/>
      <c r="Z38" s="110"/>
      <c r="AA38" s="110"/>
      <c r="AB38" s="110"/>
      <c r="AC38" s="196">
        <v>0</v>
      </c>
      <c r="AD38" s="110"/>
      <c r="AE38" s="110"/>
      <c r="AF38" s="165"/>
      <c r="AG38" s="165"/>
      <c r="AH38" s="110"/>
      <c r="AI38" s="110"/>
      <c r="AJ38" s="168">
        <v>200</v>
      </c>
      <c r="AK38" s="167"/>
      <c r="AL38" s="110"/>
    </row>
    <row r="39" spans="1:38" ht="15" x14ac:dyDescent="0.2">
      <c r="A39" s="144">
        <v>33</v>
      </c>
      <c r="B39" s="175"/>
      <c r="C39" s="107" t="s">
        <v>208</v>
      </c>
      <c r="D39" s="108">
        <v>46118</v>
      </c>
      <c r="E39" s="106" t="s">
        <v>141</v>
      </c>
      <c r="F39" s="107" t="s">
        <v>281</v>
      </c>
      <c r="G39" s="111"/>
      <c r="H39" s="188">
        <v>3</v>
      </c>
      <c r="I39" s="111"/>
      <c r="J39" s="111"/>
      <c r="K39" s="106"/>
      <c r="L39" s="106"/>
      <c r="M39" s="183"/>
      <c r="N39" s="111"/>
      <c r="O39" s="106"/>
      <c r="P39" s="106"/>
      <c r="Q39" s="106"/>
      <c r="R39" s="106"/>
      <c r="S39" s="106"/>
      <c r="T39" s="106"/>
      <c r="U39" s="106"/>
      <c r="V39" s="106"/>
      <c r="W39" s="152"/>
      <c r="X39" s="152"/>
      <c r="Y39" s="110"/>
      <c r="Z39" s="110"/>
      <c r="AA39" s="110"/>
      <c r="AB39" s="110"/>
      <c r="AC39" s="196">
        <v>468</v>
      </c>
      <c r="AD39" s="110"/>
      <c r="AE39" s="110"/>
      <c r="AF39" s="165"/>
      <c r="AG39" s="165"/>
      <c r="AH39" s="110"/>
      <c r="AI39" s="110"/>
      <c r="AJ39" s="168">
        <v>200</v>
      </c>
      <c r="AK39" s="167"/>
      <c r="AL39" s="110"/>
    </row>
    <row r="40" spans="1:38" ht="15" x14ac:dyDescent="0.2">
      <c r="A40" s="144">
        <v>34</v>
      </c>
      <c r="B40" s="175"/>
      <c r="C40" s="107" t="s">
        <v>208</v>
      </c>
      <c r="D40" s="108">
        <v>46118</v>
      </c>
      <c r="E40" s="106" t="s">
        <v>141</v>
      </c>
      <c r="F40" s="107" t="s">
        <v>282</v>
      </c>
      <c r="G40" s="111"/>
      <c r="H40" s="188">
        <v>3</v>
      </c>
      <c r="I40" s="111"/>
      <c r="J40" s="111"/>
      <c r="K40" s="106"/>
      <c r="L40" s="106"/>
      <c r="M40" s="183"/>
      <c r="N40" s="111"/>
      <c r="O40" s="106"/>
      <c r="P40" s="106"/>
      <c r="Q40" s="106"/>
      <c r="R40" s="106"/>
      <c r="S40" s="106"/>
      <c r="T40" s="106"/>
      <c r="U40" s="106"/>
      <c r="V40" s="106"/>
      <c r="W40" s="152"/>
      <c r="X40" s="152"/>
      <c r="Y40" s="110"/>
      <c r="Z40" s="110"/>
      <c r="AA40" s="110"/>
      <c r="AB40" s="110"/>
      <c r="AC40" s="196">
        <v>360</v>
      </c>
      <c r="AD40" s="110"/>
      <c r="AE40" s="110"/>
      <c r="AF40" s="165"/>
      <c r="AG40" s="165"/>
      <c r="AH40" s="110"/>
      <c r="AI40" s="110"/>
      <c r="AJ40" s="168">
        <v>200</v>
      </c>
      <c r="AK40" s="167"/>
      <c r="AL40" s="110"/>
    </row>
    <row r="41" spans="1:38" ht="15" x14ac:dyDescent="0.2">
      <c r="A41" s="144">
        <v>35</v>
      </c>
      <c r="B41" s="175"/>
      <c r="C41" s="107" t="s">
        <v>188</v>
      </c>
      <c r="D41" s="108">
        <v>46118</v>
      </c>
      <c r="E41" s="106" t="s">
        <v>141</v>
      </c>
      <c r="F41" s="107" t="s">
        <v>283</v>
      </c>
      <c r="G41" s="111"/>
      <c r="H41" s="188">
        <v>3</v>
      </c>
      <c r="I41" s="111"/>
      <c r="J41" s="111"/>
      <c r="K41" s="106"/>
      <c r="L41" s="106"/>
      <c r="M41" s="183"/>
      <c r="N41" s="111"/>
      <c r="O41" s="106"/>
      <c r="P41" s="106"/>
      <c r="Q41" s="106"/>
      <c r="R41" s="106"/>
      <c r="S41" s="106"/>
      <c r="T41" s="106"/>
      <c r="U41" s="106"/>
      <c r="V41" s="106"/>
      <c r="W41" s="152"/>
      <c r="X41" s="152"/>
      <c r="Y41" s="110"/>
      <c r="Z41" s="110"/>
      <c r="AA41" s="110"/>
      <c r="AB41" s="110"/>
      <c r="AC41" s="196">
        <v>0</v>
      </c>
      <c r="AD41" s="110"/>
      <c r="AE41" s="110"/>
      <c r="AF41" s="165"/>
      <c r="AG41" s="165"/>
      <c r="AH41" s="110"/>
      <c r="AI41" s="110"/>
      <c r="AJ41" s="168">
        <v>200</v>
      </c>
      <c r="AK41" s="167"/>
      <c r="AL41" s="110"/>
    </row>
    <row r="42" spans="1:38" ht="15" x14ac:dyDescent="0.2">
      <c r="A42" s="144">
        <v>37</v>
      </c>
      <c r="B42" s="175"/>
      <c r="C42" s="107" t="s">
        <v>208</v>
      </c>
      <c r="D42" s="108">
        <v>46118</v>
      </c>
      <c r="E42" s="106" t="s">
        <v>141</v>
      </c>
      <c r="F42" s="107" t="s">
        <v>284</v>
      </c>
      <c r="G42" s="111"/>
      <c r="H42" s="188">
        <v>3</v>
      </c>
      <c r="I42" s="111"/>
      <c r="J42" s="111"/>
      <c r="K42" s="106"/>
      <c r="L42" s="106"/>
      <c r="N42" s="111"/>
      <c r="O42" s="106"/>
      <c r="P42" s="106"/>
      <c r="Q42" s="106"/>
      <c r="R42" s="129"/>
      <c r="S42" s="106"/>
      <c r="T42" s="106"/>
      <c r="U42" s="106"/>
      <c r="V42" s="106"/>
      <c r="W42" s="152"/>
      <c r="X42" s="152"/>
      <c r="Y42" s="110"/>
      <c r="Z42" s="110"/>
      <c r="AA42" s="110"/>
      <c r="AB42" s="110"/>
      <c r="AC42" s="196">
        <v>1504</v>
      </c>
      <c r="AD42" s="110"/>
      <c r="AE42" s="110"/>
      <c r="AF42" s="165"/>
      <c r="AG42" s="165"/>
      <c r="AH42" s="110"/>
      <c r="AI42" s="110"/>
      <c r="AJ42" s="168">
        <v>200</v>
      </c>
      <c r="AK42" s="167"/>
      <c r="AL42" s="110"/>
    </row>
    <row r="43" spans="1:38" ht="15" x14ac:dyDescent="0.2">
      <c r="A43" s="144">
        <v>39</v>
      </c>
      <c r="B43" s="175"/>
      <c r="C43" s="107" t="s">
        <v>208</v>
      </c>
      <c r="D43" s="108">
        <v>46118</v>
      </c>
      <c r="E43" s="106" t="s">
        <v>141</v>
      </c>
      <c r="F43" s="107" t="s">
        <v>285</v>
      </c>
      <c r="G43" s="111"/>
      <c r="H43" s="188">
        <v>3</v>
      </c>
      <c r="I43" s="111"/>
      <c r="J43" s="111"/>
      <c r="K43" s="106"/>
      <c r="L43" s="106"/>
      <c r="M43" s="183"/>
      <c r="N43" s="111"/>
      <c r="O43" s="106"/>
      <c r="P43" s="106"/>
      <c r="Q43" s="106"/>
      <c r="R43" s="106"/>
      <c r="S43" s="106"/>
      <c r="T43" s="106"/>
      <c r="U43" s="106"/>
      <c r="V43" s="106"/>
      <c r="W43" s="152"/>
      <c r="X43" s="152"/>
      <c r="Y43" s="110"/>
      <c r="Z43" s="110"/>
      <c r="AA43" s="110"/>
      <c r="AB43" s="110"/>
      <c r="AC43" s="196">
        <v>0</v>
      </c>
      <c r="AD43" s="110"/>
      <c r="AE43" s="110"/>
      <c r="AF43" s="165"/>
      <c r="AG43" s="165"/>
      <c r="AH43" s="110"/>
      <c r="AI43" s="110"/>
      <c r="AJ43" s="168">
        <v>200</v>
      </c>
      <c r="AK43" s="167"/>
      <c r="AL43" s="110"/>
    </row>
    <row r="44" spans="1:38" s="213" customFormat="1" ht="15" x14ac:dyDescent="0.2">
      <c r="A44" s="200">
        <v>40</v>
      </c>
      <c r="B44" s="201"/>
      <c r="C44" s="202" t="s">
        <v>208</v>
      </c>
      <c r="D44" s="203">
        <v>46146</v>
      </c>
      <c r="E44" s="182" t="s">
        <v>179</v>
      </c>
      <c r="F44" s="202" t="s">
        <v>289</v>
      </c>
      <c r="G44" s="204">
        <v>46204</v>
      </c>
      <c r="H44" s="205"/>
      <c r="I44" s="205"/>
      <c r="J44" s="205"/>
      <c r="K44" s="182"/>
      <c r="L44" s="182"/>
      <c r="M44" s="206"/>
      <c r="N44" s="205"/>
      <c r="O44" s="182"/>
      <c r="P44" s="182"/>
      <c r="Q44" s="182"/>
      <c r="R44" s="182"/>
      <c r="S44" s="182"/>
      <c r="T44" s="182"/>
      <c r="U44" s="182"/>
      <c r="V44" s="182"/>
      <c r="W44" s="207"/>
      <c r="X44" s="207"/>
      <c r="Y44" s="208"/>
      <c r="Z44" s="208"/>
      <c r="AA44" s="208"/>
      <c r="AB44" s="208"/>
      <c r="AC44" s="209">
        <v>0</v>
      </c>
      <c r="AD44" s="208"/>
      <c r="AE44" s="208"/>
      <c r="AF44" s="210"/>
      <c r="AG44" s="210"/>
      <c r="AH44" s="208"/>
      <c r="AI44" s="208"/>
      <c r="AJ44" s="211">
        <v>200</v>
      </c>
      <c r="AK44" s="212"/>
      <c r="AL44" s="208"/>
    </row>
    <row r="45" spans="1:38" s="213" customFormat="1" ht="15" x14ac:dyDescent="0.2">
      <c r="A45" s="200">
        <v>42</v>
      </c>
      <c r="B45" s="201"/>
      <c r="C45" s="202" t="s">
        <v>208</v>
      </c>
      <c r="D45" s="203">
        <v>46146</v>
      </c>
      <c r="E45" s="182" t="s">
        <v>179</v>
      </c>
      <c r="F45" s="202" t="s">
        <v>290</v>
      </c>
      <c r="G45" s="204">
        <v>46204</v>
      </c>
      <c r="H45" s="205"/>
      <c r="I45" s="205"/>
      <c r="J45" s="205"/>
      <c r="K45" s="182"/>
      <c r="L45" s="182"/>
      <c r="M45" s="206"/>
      <c r="N45" s="205"/>
      <c r="O45" s="182"/>
      <c r="P45" s="182"/>
      <c r="Q45" s="182"/>
      <c r="R45" s="182"/>
      <c r="S45" s="182"/>
      <c r="T45" s="182"/>
      <c r="U45" s="182"/>
      <c r="V45" s="182"/>
      <c r="W45" s="207"/>
      <c r="X45" s="207"/>
      <c r="Y45" s="208"/>
      <c r="Z45" s="208"/>
      <c r="AA45" s="208"/>
      <c r="AB45" s="208"/>
      <c r="AC45" s="209">
        <v>0</v>
      </c>
      <c r="AD45" s="208"/>
      <c r="AE45" s="208"/>
      <c r="AF45" s="210"/>
      <c r="AG45" s="210"/>
      <c r="AH45" s="208"/>
      <c r="AI45" s="208"/>
      <c r="AJ45" s="211">
        <v>200</v>
      </c>
      <c r="AK45" s="212"/>
      <c r="AL45" s="208"/>
    </row>
    <row r="46" spans="1:38" ht="15" x14ac:dyDescent="0.2">
      <c r="A46" s="144">
        <v>43</v>
      </c>
      <c r="B46" s="175"/>
      <c r="C46" s="107" t="s">
        <v>208</v>
      </c>
      <c r="D46" s="108">
        <v>46174</v>
      </c>
      <c r="E46" s="106" t="s">
        <v>141</v>
      </c>
      <c r="F46" s="107" t="s">
        <v>296</v>
      </c>
      <c r="G46" s="111"/>
      <c r="H46" s="188">
        <v>3</v>
      </c>
      <c r="I46" s="111"/>
      <c r="J46" s="111"/>
      <c r="K46" s="106"/>
      <c r="L46" s="106"/>
      <c r="M46" s="183"/>
      <c r="N46" s="111"/>
      <c r="O46" s="106"/>
      <c r="P46" s="106"/>
      <c r="Q46" s="106"/>
      <c r="R46" s="106"/>
      <c r="S46" s="106"/>
      <c r="T46" s="106"/>
      <c r="U46" s="106"/>
      <c r="V46" s="106"/>
      <c r="W46" s="152"/>
      <c r="X46" s="152"/>
      <c r="Y46" s="110"/>
      <c r="Z46" s="110"/>
      <c r="AA46" s="110"/>
      <c r="AB46" s="110"/>
      <c r="AC46" s="196">
        <v>192</v>
      </c>
      <c r="AD46" s="110"/>
      <c r="AE46" s="110"/>
      <c r="AF46" s="165"/>
      <c r="AG46" s="165"/>
      <c r="AH46" s="110"/>
      <c r="AI46" s="110"/>
      <c r="AJ46" s="168">
        <v>200</v>
      </c>
      <c r="AK46" s="167"/>
      <c r="AL46" s="110"/>
    </row>
    <row r="47" spans="1:38" ht="15" x14ac:dyDescent="0.2">
      <c r="A47" s="144">
        <v>44</v>
      </c>
      <c r="B47" s="175"/>
      <c r="C47" s="107" t="s">
        <v>208</v>
      </c>
      <c r="D47" s="108">
        <v>46174</v>
      </c>
      <c r="E47" s="106" t="s">
        <v>141</v>
      </c>
      <c r="F47" s="107" t="s">
        <v>297</v>
      </c>
      <c r="G47" s="111"/>
      <c r="H47" s="188">
        <v>3</v>
      </c>
      <c r="I47" s="111"/>
      <c r="J47" s="111"/>
      <c r="K47" s="106"/>
      <c r="L47" s="106"/>
      <c r="M47" s="183"/>
      <c r="N47" s="111"/>
      <c r="O47" s="106"/>
      <c r="P47" s="106"/>
      <c r="Q47" s="106"/>
      <c r="R47" s="106"/>
      <c r="S47" s="106"/>
      <c r="T47" s="106"/>
      <c r="U47" s="106"/>
      <c r="V47" s="106"/>
      <c r="W47" s="152"/>
      <c r="X47" s="152"/>
      <c r="Y47" s="110"/>
      <c r="Z47" s="110"/>
      <c r="AA47" s="110"/>
      <c r="AB47" s="110"/>
      <c r="AC47" s="196">
        <v>501</v>
      </c>
      <c r="AD47" s="110"/>
      <c r="AE47" s="110"/>
      <c r="AF47" s="165"/>
      <c r="AG47" s="165"/>
      <c r="AH47" s="110"/>
      <c r="AI47" s="110"/>
      <c r="AJ47" s="168">
        <v>200</v>
      </c>
      <c r="AK47" s="167"/>
      <c r="AL47" s="110"/>
    </row>
    <row r="48" spans="1:38" s="213" customFormat="1" ht="15" x14ac:dyDescent="0.2">
      <c r="A48" s="200">
        <v>45</v>
      </c>
      <c r="B48" s="201"/>
      <c r="C48" s="202" t="s">
        <v>208</v>
      </c>
      <c r="D48" s="203">
        <v>46174</v>
      </c>
      <c r="E48" s="182" t="s">
        <v>179</v>
      </c>
      <c r="F48" s="202" t="s">
        <v>298</v>
      </c>
      <c r="G48" s="204">
        <v>46204</v>
      </c>
      <c r="H48" s="205"/>
      <c r="I48" s="205"/>
      <c r="J48" s="205"/>
      <c r="K48" s="182"/>
      <c r="L48" s="182"/>
      <c r="M48" s="206"/>
      <c r="N48" s="205"/>
      <c r="O48" s="182"/>
      <c r="P48" s="182"/>
      <c r="Q48" s="182"/>
      <c r="R48" s="182"/>
      <c r="S48" s="182"/>
      <c r="T48" s="182"/>
      <c r="U48" s="182"/>
      <c r="V48" s="182"/>
      <c r="W48" s="207"/>
      <c r="X48" s="207"/>
      <c r="Y48" s="208"/>
      <c r="Z48" s="208"/>
      <c r="AA48" s="208"/>
      <c r="AB48" s="208"/>
      <c r="AC48" s="209">
        <v>0</v>
      </c>
      <c r="AD48" s="208"/>
      <c r="AE48" s="208"/>
      <c r="AF48" s="210"/>
      <c r="AG48" s="210"/>
      <c r="AH48" s="208"/>
      <c r="AI48" s="208"/>
      <c r="AJ48" s="211">
        <v>200</v>
      </c>
      <c r="AK48" s="212"/>
      <c r="AL48" s="208"/>
    </row>
    <row r="49" spans="1:38" ht="15" x14ac:dyDescent="0.2">
      <c r="A49" s="144">
        <v>46</v>
      </c>
      <c r="B49" s="175"/>
      <c r="C49" s="107" t="s">
        <v>208</v>
      </c>
      <c r="D49" s="108">
        <v>46174</v>
      </c>
      <c r="E49" s="106" t="s">
        <v>141</v>
      </c>
      <c r="F49" s="107" t="s">
        <v>299</v>
      </c>
      <c r="G49" s="111"/>
      <c r="H49" s="188">
        <v>3</v>
      </c>
      <c r="I49" s="111"/>
      <c r="J49" s="111"/>
      <c r="K49" s="106"/>
      <c r="L49" s="106"/>
      <c r="M49" s="183"/>
      <c r="N49" s="111"/>
      <c r="O49" s="106"/>
      <c r="P49" s="106"/>
      <c r="Q49" s="106"/>
      <c r="R49" s="106"/>
      <c r="S49" s="106"/>
      <c r="T49" s="106"/>
      <c r="U49" s="106"/>
      <c r="V49" s="106"/>
      <c r="W49" s="152"/>
      <c r="X49" s="152"/>
      <c r="Y49" s="110"/>
      <c r="Z49" s="110"/>
      <c r="AA49" s="110"/>
      <c r="AB49" s="110"/>
      <c r="AC49" s="196">
        <v>0</v>
      </c>
      <c r="AD49" s="110"/>
      <c r="AE49" s="110"/>
      <c r="AF49" s="165"/>
      <c r="AG49" s="165"/>
      <c r="AH49" s="110"/>
      <c r="AI49" s="110"/>
      <c r="AJ49" s="168">
        <v>200</v>
      </c>
      <c r="AK49" s="167"/>
      <c r="AL49" s="110"/>
    </row>
    <row r="50" spans="1:38" ht="15" x14ac:dyDescent="0.2">
      <c r="A50" s="144">
        <v>47</v>
      </c>
      <c r="B50" s="175"/>
      <c r="C50" s="107" t="s">
        <v>208</v>
      </c>
      <c r="D50" s="108">
        <v>46177</v>
      </c>
      <c r="E50" s="106" t="s">
        <v>141</v>
      </c>
      <c r="F50" s="107" t="s">
        <v>301</v>
      </c>
      <c r="G50" s="111"/>
      <c r="H50" s="188">
        <v>3</v>
      </c>
      <c r="I50" s="111"/>
      <c r="J50" s="111"/>
      <c r="K50" s="106"/>
      <c r="L50" s="106"/>
      <c r="M50" s="183"/>
      <c r="N50" s="111"/>
      <c r="O50" s="106"/>
      <c r="P50" s="106"/>
      <c r="Q50" s="106"/>
      <c r="R50" s="106"/>
      <c r="S50" s="106"/>
      <c r="T50" s="106"/>
      <c r="U50" s="106"/>
      <c r="V50" s="106"/>
      <c r="W50" s="152"/>
      <c r="X50" s="152"/>
      <c r="Y50" s="110"/>
      <c r="Z50" s="110"/>
      <c r="AA50" s="110"/>
      <c r="AB50" s="110"/>
      <c r="AC50" s="196">
        <v>144</v>
      </c>
      <c r="AD50" s="110"/>
      <c r="AE50" s="110"/>
      <c r="AF50" s="165"/>
      <c r="AG50" s="165"/>
      <c r="AH50" s="110"/>
      <c r="AI50" s="110"/>
      <c r="AJ50" s="168">
        <v>200</v>
      </c>
      <c r="AK50" s="167"/>
      <c r="AL50" s="110"/>
    </row>
    <row r="51" spans="1:38" ht="15" x14ac:dyDescent="0.2">
      <c r="A51" s="144">
        <v>48</v>
      </c>
      <c r="B51" s="175"/>
      <c r="C51" s="107" t="s">
        <v>208</v>
      </c>
      <c r="D51" s="108">
        <v>46177</v>
      </c>
      <c r="E51" s="106" t="s">
        <v>141</v>
      </c>
      <c r="F51" s="107" t="s">
        <v>302</v>
      </c>
      <c r="G51" s="111"/>
      <c r="H51" s="188">
        <v>3</v>
      </c>
      <c r="I51" s="111"/>
      <c r="J51" s="111"/>
      <c r="K51" s="106"/>
      <c r="L51" s="106"/>
      <c r="M51" s="183"/>
      <c r="N51" s="111"/>
      <c r="O51" s="106"/>
      <c r="P51" s="106"/>
      <c r="Q51" s="106"/>
      <c r="R51" s="106"/>
      <c r="S51" s="106"/>
      <c r="T51" s="106"/>
      <c r="U51" s="106"/>
      <c r="V51" s="106"/>
      <c r="W51" s="152"/>
      <c r="X51" s="152"/>
      <c r="Y51" s="110"/>
      <c r="Z51" s="110"/>
      <c r="AA51" s="110"/>
      <c r="AB51" s="110"/>
      <c r="AC51" s="196">
        <v>0</v>
      </c>
      <c r="AD51" s="110"/>
      <c r="AE51" s="110"/>
      <c r="AF51" s="165"/>
      <c r="AG51" s="165"/>
      <c r="AH51" s="110"/>
      <c r="AI51" s="110"/>
      <c r="AJ51" s="168">
        <v>200</v>
      </c>
      <c r="AK51" s="167"/>
      <c r="AL51" s="110"/>
    </row>
    <row r="52" spans="1:38" ht="15" x14ac:dyDescent="0.2">
      <c r="A52" s="144">
        <v>49</v>
      </c>
      <c r="B52" s="175"/>
      <c r="C52" s="107" t="s">
        <v>208</v>
      </c>
      <c r="D52" s="108">
        <v>46177</v>
      </c>
      <c r="E52" s="106" t="s">
        <v>141</v>
      </c>
      <c r="F52" s="107" t="s">
        <v>300</v>
      </c>
      <c r="G52" s="111"/>
      <c r="H52" s="188">
        <v>3</v>
      </c>
      <c r="I52" s="111"/>
      <c r="J52" s="111"/>
      <c r="K52" s="106"/>
      <c r="L52" s="106"/>
      <c r="M52" s="183"/>
      <c r="N52" s="111"/>
      <c r="O52" s="106"/>
      <c r="P52" s="106"/>
      <c r="Q52" s="106"/>
      <c r="R52" s="106"/>
      <c r="S52" s="106"/>
      <c r="T52" s="106"/>
      <c r="U52" s="106"/>
      <c r="V52" s="106"/>
      <c r="W52" s="152"/>
      <c r="X52" s="152"/>
      <c r="Y52" s="110"/>
      <c r="Z52" s="110"/>
      <c r="AA52" s="110"/>
      <c r="AB52" s="110"/>
      <c r="AC52" s="196">
        <v>126</v>
      </c>
      <c r="AD52" s="110"/>
      <c r="AE52" s="110"/>
      <c r="AF52" s="165"/>
      <c r="AG52" s="165"/>
      <c r="AH52" s="110"/>
      <c r="AI52" s="110"/>
      <c r="AJ52" s="168">
        <v>200</v>
      </c>
      <c r="AK52" s="167"/>
      <c r="AL52" s="110"/>
    </row>
    <row r="53" spans="1:38" ht="15" x14ac:dyDescent="0.2">
      <c r="A53" s="144">
        <v>49</v>
      </c>
      <c r="B53" s="175"/>
      <c r="C53" s="107" t="s">
        <v>208</v>
      </c>
      <c r="D53" s="108">
        <v>46204</v>
      </c>
      <c r="E53" s="106" t="s">
        <v>141</v>
      </c>
      <c r="F53" s="107" t="s">
        <v>306</v>
      </c>
      <c r="G53" s="111"/>
      <c r="H53" s="188">
        <v>3</v>
      </c>
      <c r="I53" s="111"/>
      <c r="J53" s="111"/>
      <c r="K53" s="106"/>
      <c r="L53" s="106"/>
      <c r="M53" s="183"/>
      <c r="N53" s="111"/>
      <c r="O53" s="106"/>
      <c r="P53" s="106"/>
      <c r="Q53" s="106"/>
      <c r="R53" s="106"/>
      <c r="S53" s="106"/>
      <c r="T53" s="106"/>
      <c r="U53" s="106"/>
      <c r="V53" s="106"/>
      <c r="W53" s="152"/>
      <c r="X53" s="152"/>
      <c r="Y53" s="110"/>
      <c r="Z53" s="110"/>
      <c r="AA53" s="110"/>
      <c r="AB53" s="110"/>
      <c r="AC53" s="196">
        <v>0</v>
      </c>
      <c r="AD53" s="110"/>
      <c r="AE53" s="110"/>
      <c r="AF53" s="165"/>
      <c r="AG53" s="165"/>
      <c r="AH53" s="110"/>
      <c r="AI53" s="110"/>
      <c r="AJ53" s="168">
        <v>200</v>
      </c>
      <c r="AK53" s="167"/>
      <c r="AL53" s="110"/>
    </row>
    <row r="54" spans="1:38" ht="15" x14ac:dyDescent="0.2">
      <c r="A54" s="144">
        <v>49</v>
      </c>
      <c r="B54" s="175"/>
      <c r="C54" s="107" t="s">
        <v>208</v>
      </c>
      <c r="D54" s="108">
        <v>46204</v>
      </c>
      <c r="E54" s="106" t="s">
        <v>141</v>
      </c>
      <c r="F54" s="107" t="s">
        <v>307</v>
      </c>
      <c r="G54" s="111"/>
      <c r="H54" s="188">
        <v>3</v>
      </c>
      <c r="I54" s="111"/>
      <c r="J54" s="111"/>
      <c r="K54" s="106"/>
      <c r="L54" s="106"/>
      <c r="M54" s="183"/>
      <c r="N54" s="111"/>
      <c r="O54" s="106"/>
      <c r="P54" s="106"/>
      <c r="Q54" s="106"/>
      <c r="R54" s="106"/>
      <c r="S54" s="106"/>
      <c r="T54" s="106"/>
      <c r="U54" s="106"/>
      <c r="V54" s="106"/>
      <c r="W54" s="152"/>
      <c r="X54" s="152"/>
      <c r="Y54" s="110"/>
      <c r="Z54" s="110"/>
      <c r="AA54" s="110"/>
      <c r="AB54" s="110"/>
      <c r="AC54" s="196">
        <v>0</v>
      </c>
      <c r="AD54" s="110"/>
      <c r="AE54" s="110"/>
      <c r="AF54" s="165"/>
      <c r="AG54" s="165"/>
      <c r="AH54" s="110"/>
      <c r="AI54" s="110"/>
      <c r="AJ54" s="168">
        <v>200</v>
      </c>
      <c r="AK54" s="167"/>
      <c r="AL54" s="110"/>
    </row>
    <row r="55" spans="1:38" s="213" customFormat="1" ht="15" x14ac:dyDescent="0.2">
      <c r="A55" s="200">
        <v>49</v>
      </c>
      <c r="B55" s="201"/>
      <c r="C55" s="202" t="s">
        <v>208</v>
      </c>
      <c r="D55" s="203">
        <v>46204</v>
      </c>
      <c r="E55" s="182" t="s">
        <v>141</v>
      </c>
      <c r="F55" s="202" t="s">
        <v>308</v>
      </c>
      <c r="G55" s="204">
        <v>46210</v>
      </c>
      <c r="H55" s="205"/>
      <c r="I55" s="205"/>
      <c r="J55" s="205"/>
      <c r="K55" s="182"/>
      <c r="L55" s="182"/>
      <c r="M55" s="206"/>
      <c r="N55" s="205"/>
      <c r="O55" s="182"/>
      <c r="P55" s="182"/>
      <c r="Q55" s="182"/>
      <c r="R55" s="182"/>
      <c r="S55" s="182"/>
      <c r="T55" s="182"/>
      <c r="U55" s="182"/>
      <c r="V55" s="182"/>
      <c r="W55" s="207"/>
      <c r="X55" s="207"/>
      <c r="Y55" s="208"/>
      <c r="Z55" s="208"/>
      <c r="AA55" s="208"/>
      <c r="AB55" s="208"/>
      <c r="AC55" s="209">
        <v>0</v>
      </c>
      <c r="AD55" s="208"/>
      <c r="AE55" s="208"/>
      <c r="AF55" s="210"/>
      <c r="AG55" s="210"/>
      <c r="AH55" s="208"/>
      <c r="AI55" s="208"/>
      <c r="AJ55" s="211">
        <v>200</v>
      </c>
      <c r="AK55" s="212"/>
      <c r="AL55" s="208"/>
    </row>
    <row r="56" spans="1:38" s="213" customFormat="1" ht="15" x14ac:dyDescent="0.2">
      <c r="A56" s="200">
        <v>49</v>
      </c>
      <c r="B56" s="201"/>
      <c r="C56" s="202" t="s">
        <v>208</v>
      </c>
      <c r="D56" s="203">
        <v>46204</v>
      </c>
      <c r="E56" s="182" t="s">
        <v>141</v>
      </c>
      <c r="F56" s="202" t="s">
        <v>309</v>
      </c>
      <c r="G56" s="204">
        <v>46210</v>
      </c>
      <c r="H56" s="205"/>
      <c r="I56" s="205"/>
      <c r="J56" s="205"/>
      <c r="K56" s="182">
        <v>2</v>
      </c>
      <c r="L56" s="182"/>
      <c r="M56" s="206"/>
      <c r="N56" s="205"/>
      <c r="O56" s="182"/>
      <c r="P56" s="182"/>
      <c r="Q56" s="182"/>
      <c r="R56" s="182"/>
      <c r="S56" s="182"/>
      <c r="T56" s="182"/>
      <c r="U56" s="182"/>
      <c r="V56" s="182"/>
      <c r="W56" s="207"/>
      <c r="X56" s="207"/>
      <c r="Y56" s="208"/>
      <c r="Z56" s="208"/>
      <c r="AA56" s="208"/>
      <c r="AB56" s="208"/>
      <c r="AC56" s="209">
        <v>0</v>
      </c>
      <c r="AD56" s="208"/>
      <c r="AE56" s="208"/>
      <c r="AF56" s="210"/>
      <c r="AG56" s="210"/>
      <c r="AH56" s="208"/>
      <c r="AI56" s="208"/>
      <c r="AJ56" s="211">
        <v>200</v>
      </c>
      <c r="AK56" s="212"/>
      <c r="AL56" s="208"/>
    </row>
    <row r="57" spans="1:38" ht="15" x14ac:dyDescent="0.2">
      <c r="A57" s="144">
        <v>49</v>
      </c>
      <c r="B57" s="175"/>
      <c r="C57" s="107" t="s">
        <v>208</v>
      </c>
      <c r="D57" s="108">
        <v>46204</v>
      </c>
      <c r="E57" s="106" t="s">
        <v>141</v>
      </c>
      <c r="F57" s="107" t="s">
        <v>310</v>
      </c>
      <c r="G57" s="111"/>
      <c r="H57" s="188">
        <v>3</v>
      </c>
      <c r="I57" s="111"/>
      <c r="J57" s="111"/>
      <c r="K57" s="106"/>
      <c r="L57" s="106"/>
      <c r="M57" s="183"/>
      <c r="N57" s="111"/>
      <c r="O57" s="106"/>
      <c r="P57" s="106"/>
      <c r="Q57" s="106"/>
      <c r="R57" s="106"/>
      <c r="S57" s="106"/>
      <c r="T57" s="106"/>
      <c r="U57" s="106"/>
      <c r="V57" s="106"/>
      <c r="W57" s="152"/>
      <c r="X57" s="152"/>
      <c r="Y57" s="110"/>
      <c r="Z57" s="110"/>
      <c r="AA57" s="110"/>
      <c r="AB57" s="110"/>
      <c r="AC57" s="196">
        <v>0</v>
      </c>
      <c r="AD57" s="110"/>
      <c r="AE57" s="110"/>
      <c r="AF57" s="165"/>
      <c r="AG57" s="165"/>
      <c r="AH57" s="110"/>
      <c r="AI57" s="110"/>
      <c r="AJ57" s="168">
        <v>200</v>
      </c>
      <c r="AK57" s="167"/>
      <c r="AL57" s="110"/>
    </row>
    <row r="58" spans="1:38" s="213" customFormat="1" ht="15" x14ac:dyDescent="0.2">
      <c r="A58" s="200">
        <v>49</v>
      </c>
      <c r="B58" s="201"/>
      <c r="C58" s="202" t="s">
        <v>208</v>
      </c>
      <c r="D58" s="203">
        <v>46204</v>
      </c>
      <c r="E58" s="182" t="s">
        <v>179</v>
      </c>
      <c r="F58" s="202" t="s">
        <v>311</v>
      </c>
      <c r="G58" s="204">
        <v>46205</v>
      </c>
      <c r="H58" s="205"/>
      <c r="I58" s="205"/>
      <c r="J58" s="205"/>
      <c r="K58" s="182"/>
      <c r="L58" s="182"/>
      <c r="M58" s="206"/>
      <c r="N58" s="205"/>
      <c r="O58" s="182"/>
      <c r="P58" s="182"/>
      <c r="Q58" s="182"/>
      <c r="R58" s="182"/>
      <c r="S58" s="182"/>
      <c r="T58" s="182"/>
      <c r="U58" s="182"/>
      <c r="V58" s="182"/>
      <c r="W58" s="207"/>
      <c r="X58" s="207"/>
      <c r="Y58" s="208"/>
      <c r="Z58" s="208"/>
      <c r="AA58" s="208"/>
      <c r="AB58" s="208"/>
      <c r="AC58" s="209">
        <v>0</v>
      </c>
      <c r="AD58" s="208"/>
      <c r="AE58" s="208"/>
      <c r="AF58" s="210"/>
      <c r="AG58" s="210"/>
      <c r="AH58" s="208"/>
      <c r="AI58" s="208"/>
      <c r="AJ58" s="211">
        <v>200</v>
      </c>
      <c r="AK58" s="212"/>
      <c r="AL58" s="208"/>
    </row>
    <row r="59" spans="1:38" s="213" customFormat="1" ht="15" x14ac:dyDescent="0.2">
      <c r="A59" s="200">
        <v>49</v>
      </c>
      <c r="B59" s="201"/>
      <c r="C59" s="202" t="s">
        <v>208</v>
      </c>
      <c r="D59" s="203">
        <v>46204</v>
      </c>
      <c r="E59" s="182" t="s">
        <v>179</v>
      </c>
      <c r="F59" s="202" t="s">
        <v>312</v>
      </c>
      <c r="G59" s="204">
        <v>46205</v>
      </c>
      <c r="H59" s="205"/>
      <c r="I59" s="205"/>
      <c r="J59" s="205"/>
      <c r="K59" s="182"/>
      <c r="L59" s="182"/>
      <c r="M59" s="206"/>
      <c r="N59" s="205"/>
      <c r="O59" s="182"/>
      <c r="P59" s="182"/>
      <c r="Q59" s="182"/>
      <c r="R59" s="182"/>
      <c r="S59" s="182"/>
      <c r="T59" s="182"/>
      <c r="U59" s="182"/>
      <c r="V59" s="182"/>
      <c r="W59" s="207"/>
      <c r="X59" s="207"/>
      <c r="Y59" s="208"/>
      <c r="Z59" s="208"/>
      <c r="AA59" s="208"/>
      <c r="AB59" s="208"/>
      <c r="AC59" s="209">
        <v>0</v>
      </c>
      <c r="AD59" s="208"/>
      <c r="AE59" s="208"/>
      <c r="AF59" s="210"/>
      <c r="AG59" s="210"/>
      <c r="AH59" s="208"/>
      <c r="AI59" s="208"/>
      <c r="AJ59" s="211">
        <v>200</v>
      </c>
      <c r="AK59" s="212"/>
      <c r="AL59" s="208"/>
    </row>
    <row r="60" spans="1:38" x14ac:dyDescent="0.2">
      <c r="A60" s="178"/>
      <c r="B60" s="175"/>
      <c r="C60" s="169"/>
      <c r="D60" s="179"/>
      <c r="E60" s="178"/>
      <c r="F60" s="169"/>
      <c r="G60" s="130"/>
      <c r="H60" s="198"/>
      <c r="I60" s="130"/>
      <c r="J60" s="130"/>
      <c r="K60" s="178"/>
      <c r="L60" s="178"/>
      <c r="M60" s="184"/>
      <c r="N60" s="130"/>
      <c r="O60" s="178"/>
      <c r="P60" s="178"/>
      <c r="Q60" s="178"/>
      <c r="R60" s="178"/>
      <c r="S60" s="178"/>
      <c r="T60" s="178"/>
      <c r="U60" s="178"/>
      <c r="V60" s="178"/>
      <c r="W60" s="180"/>
      <c r="X60" s="180"/>
      <c r="AC60" s="199">
        <f>SUM(AC9:AC59)</f>
        <v>26856.85</v>
      </c>
      <c r="AJ60" s="181"/>
    </row>
    <row r="61" spans="1:38" x14ac:dyDescent="0.2">
      <c r="A61" s="178"/>
      <c r="B61" s="175"/>
      <c r="C61" s="169"/>
      <c r="D61" s="179"/>
      <c r="E61" s="178"/>
      <c r="F61" s="169"/>
      <c r="G61" s="130"/>
      <c r="H61" s="198"/>
      <c r="I61" s="130"/>
      <c r="J61" s="130"/>
      <c r="K61" s="178"/>
      <c r="L61" s="178"/>
      <c r="M61" s="184"/>
      <c r="N61" s="130"/>
      <c r="O61" s="178"/>
      <c r="P61" s="178"/>
      <c r="Q61" s="178"/>
      <c r="R61" s="178"/>
      <c r="S61" s="178"/>
      <c r="T61" s="178"/>
      <c r="U61" s="178"/>
      <c r="V61" s="178"/>
      <c r="W61" s="180"/>
      <c r="X61" s="180"/>
      <c r="AC61" s="199"/>
      <c r="AJ61" s="181"/>
    </row>
    <row r="62" spans="1:38" x14ac:dyDescent="0.2">
      <c r="A62" s="178"/>
      <c r="B62" s="175"/>
      <c r="C62" s="169"/>
      <c r="D62" s="179"/>
      <c r="E62" s="178"/>
      <c r="F62" s="169"/>
      <c r="G62" s="130"/>
      <c r="H62" s="198"/>
      <c r="I62" s="130"/>
      <c r="J62" s="130"/>
      <c r="K62" s="178"/>
      <c r="L62" s="178"/>
      <c r="M62" s="184"/>
      <c r="N62" s="130"/>
      <c r="O62" s="178"/>
      <c r="P62" s="178"/>
      <c r="Q62" s="178"/>
      <c r="R62" s="178"/>
      <c r="S62" s="178"/>
      <c r="T62" s="178"/>
      <c r="U62" s="178"/>
      <c r="V62" s="178"/>
      <c r="W62" s="180"/>
      <c r="X62" s="180"/>
      <c r="AC62" s="199"/>
      <c r="AJ62" s="181"/>
    </row>
    <row r="63" spans="1:38" x14ac:dyDescent="0.2">
      <c r="A63" s="178"/>
      <c r="B63" s="175"/>
      <c r="C63" s="169"/>
      <c r="D63" s="179"/>
      <c r="E63" s="178"/>
      <c r="F63" s="169"/>
      <c r="G63" s="130"/>
      <c r="H63" s="198"/>
      <c r="I63" s="130"/>
      <c r="J63" s="130"/>
      <c r="K63" s="178"/>
      <c r="L63" s="178"/>
      <c r="M63" s="184"/>
      <c r="N63" s="130"/>
      <c r="O63" s="178"/>
      <c r="P63" s="178"/>
      <c r="Q63" s="178"/>
      <c r="R63" s="178"/>
      <c r="S63" s="178"/>
      <c r="T63" s="178"/>
      <c r="U63" s="178"/>
      <c r="V63" s="178"/>
      <c r="W63" s="180"/>
      <c r="X63" s="180"/>
      <c r="AC63" s="199"/>
      <c r="AJ63" s="181"/>
    </row>
    <row r="64" spans="1:38" x14ac:dyDescent="0.2">
      <c r="A64" s="178"/>
      <c r="B64" s="175"/>
      <c r="C64" s="169"/>
      <c r="D64" s="179"/>
      <c r="E64" s="178"/>
      <c r="F64" s="169"/>
      <c r="G64" s="130"/>
      <c r="H64" s="198"/>
      <c r="I64" s="130"/>
      <c r="J64" s="130"/>
      <c r="K64" s="178"/>
      <c r="L64" s="178"/>
      <c r="M64" s="184"/>
      <c r="N64" s="130"/>
      <c r="O64" s="178"/>
      <c r="P64" s="178"/>
      <c r="Q64" s="178"/>
      <c r="R64" s="178"/>
      <c r="S64" s="178"/>
      <c r="T64" s="178"/>
      <c r="U64" s="178"/>
      <c r="V64" s="178"/>
      <c r="W64" s="180"/>
      <c r="X64" s="180"/>
      <c r="AC64" s="199"/>
      <c r="AJ64" s="181"/>
    </row>
    <row r="65" spans="1:36" x14ac:dyDescent="0.2">
      <c r="A65" s="178"/>
      <c r="B65" s="175"/>
      <c r="C65" s="169"/>
      <c r="D65" s="179"/>
      <c r="E65" s="178"/>
      <c r="F65" s="169"/>
      <c r="G65" s="130"/>
      <c r="H65" s="198"/>
      <c r="I65" s="130"/>
      <c r="J65" s="130"/>
      <c r="K65" s="178"/>
      <c r="L65" s="178"/>
      <c r="M65" s="184"/>
      <c r="N65" s="130"/>
      <c r="O65" s="178"/>
      <c r="P65" s="178"/>
      <c r="Q65" s="178"/>
      <c r="R65" s="178"/>
      <c r="S65" s="178"/>
      <c r="T65" s="178"/>
      <c r="U65" s="178"/>
      <c r="V65" s="178"/>
      <c r="W65" s="180"/>
      <c r="X65" s="180"/>
      <c r="AC65" s="199"/>
      <c r="AJ65" s="181"/>
    </row>
    <row r="66" spans="1:36" x14ac:dyDescent="0.2">
      <c r="A66" s="178"/>
      <c r="B66" s="175"/>
      <c r="C66" s="169"/>
      <c r="D66" s="179"/>
      <c r="E66" s="178"/>
      <c r="F66" s="169"/>
      <c r="G66" s="130"/>
      <c r="H66" s="198"/>
      <c r="I66" s="130"/>
      <c r="J66" s="130"/>
      <c r="K66" s="178"/>
      <c r="L66" s="178"/>
      <c r="M66" s="184"/>
      <c r="N66" s="130"/>
      <c r="O66" s="178"/>
      <c r="P66" s="178"/>
      <c r="Q66" s="178"/>
      <c r="R66" s="178"/>
      <c r="S66" s="178"/>
      <c r="T66" s="178"/>
      <c r="U66" s="178"/>
      <c r="V66" s="178"/>
      <c r="W66" s="180"/>
      <c r="X66" s="180"/>
      <c r="AC66" s="199"/>
      <c r="AJ66" s="181"/>
    </row>
    <row r="67" spans="1:36" x14ac:dyDescent="0.2">
      <c r="A67" s="178"/>
      <c r="B67" s="175"/>
      <c r="C67" s="169"/>
      <c r="D67" s="179"/>
      <c r="E67" s="178"/>
      <c r="F67" s="169"/>
      <c r="G67" s="130"/>
      <c r="H67" s="198"/>
      <c r="I67" s="130"/>
      <c r="J67" s="130"/>
      <c r="K67" s="178"/>
      <c r="L67" s="178"/>
      <c r="M67" s="184"/>
      <c r="N67" s="130"/>
      <c r="O67" s="178"/>
      <c r="P67" s="178"/>
      <c r="Q67" s="178"/>
      <c r="R67" s="178"/>
      <c r="S67" s="178"/>
      <c r="T67" s="178"/>
      <c r="U67" s="178"/>
      <c r="V67" s="178"/>
      <c r="W67" s="180"/>
      <c r="X67" s="180"/>
      <c r="AC67" s="199"/>
      <c r="AJ67" s="181"/>
    </row>
    <row r="68" spans="1:36" x14ac:dyDescent="0.2">
      <c r="A68" s="178"/>
      <c r="B68" s="175"/>
      <c r="C68" s="169"/>
      <c r="D68" s="179"/>
      <c r="E68" s="178"/>
      <c r="F68" s="169"/>
      <c r="G68" s="130"/>
      <c r="H68" s="198"/>
      <c r="I68" s="130"/>
      <c r="J68" s="130"/>
      <c r="K68" s="178"/>
      <c r="L68" s="178"/>
      <c r="M68" s="184"/>
      <c r="N68" s="130"/>
      <c r="O68" s="178"/>
      <c r="P68" s="178"/>
      <c r="Q68" s="178"/>
      <c r="R68" s="178"/>
      <c r="S68" s="178"/>
      <c r="T68" s="178"/>
      <c r="U68" s="178"/>
      <c r="V68" s="178"/>
      <c r="W68" s="180"/>
      <c r="X68" s="180"/>
      <c r="AC68" s="199"/>
      <c r="AJ68" s="181"/>
    </row>
    <row r="69" spans="1:36" x14ac:dyDescent="0.2">
      <c r="A69" s="178"/>
      <c r="B69" s="175"/>
      <c r="C69" s="169"/>
      <c r="D69" s="179"/>
      <c r="E69" s="178"/>
      <c r="F69" s="169"/>
      <c r="G69" s="130"/>
      <c r="H69" s="184"/>
      <c r="I69" s="130"/>
      <c r="J69" s="130"/>
      <c r="K69" s="178"/>
      <c r="L69" s="178"/>
      <c r="M69" s="184"/>
      <c r="N69" s="130"/>
      <c r="O69" s="178"/>
      <c r="P69" s="178"/>
      <c r="Q69" s="178"/>
      <c r="R69" s="178"/>
      <c r="S69" s="178"/>
      <c r="T69" s="178"/>
      <c r="U69" s="178"/>
      <c r="V69" s="178"/>
      <c r="W69" s="180"/>
      <c r="X69" s="180"/>
      <c r="AJ69" s="181"/>
    </row>
    <row r="70" spans="1:36" x14ac:dyDescent="0.2">
      <c r="A70" s="169" t="s">
        <v>105</v>
      </c>
      <c r="B70" s="170"/>
      <c r="C70" s="169"/>
      <c r="F70" s="176"/>
    </row>
    <row r="71" spans="1:36" x14ac:dyDescent="0.2">
      <c r="A71" s="169" t="s">
        <v>37</v>
      </c>
      <c r="B71" s="169"/>
    </row>
    <row r="72" spans="1:36" x14ac:dyDescent="0.2">
      <c r="A72" s="169" t="s">
        <v>30</v>
      </c>
      <c r="B72" s="169"/>
    </row>
    <row r="73" spans="1:36" x14ac:dyDescent="0.2">
      <c r="A73" s="169" t="s">
        <v>31</v>
      </c>
      <c r="B73" s="170"/>
    </row>
    <row r="74" spans="1:36" x14ac:dyDescent="0.2">
      <c r="A74" s="169" t="s">
        <v>153</v>
      </c>
      <c r="B74" s="170"/>
    </row>
    <row r="75" spans="1:36" x14ac:dyDescent="0.2">
      <c r="A75" s="171"/>
      <c r="B75" s="172"/>
      <c r="C75" s="171"/>
    </row>
    <row r="76" spans="1:36" x14ac:dyDescent="0.2">
      <c r="A76" s="173" t="s">
        <v>14</v>
      </c>
      <c r="B76" s="173"/>
    </row>
    <row r="77" spans="1:36" x14ac:dyDescent="0.2">
      <c r="A77" s="169" t="s">
        <v>13</v>
      </c>
      <c r="B77" s="170"/>
    </row>
    <row r="78" spans="1:36" x14ac:dyDescent="0.2">
      <c r="A78" s="169" t="s">
        <v>28</v>
      </c>
      <c r="B78" s="170"/>
    </row>
    <row r="79" spans="1:36" x14ac:dyDescent="0.2">
      <c r="A79" s="169" t="s">
        <v>29</v>
      </c>
      <c r="B79" s="169"/>
    </row>
    <row r="80" spans="1:36" x14ac:dyDescent="0.2">
      <c r="A80" s="169" t="s">
        <v>32</v>
      </c>
      <c r="B80" s="169"/>
    </row>
    <row r="81" spans="1:3" x14ac:dyDescent="0.2">
      <c r="A81" s="169" t="s">
        <v>136</v>
      </c>
      <c r="B81" s="169"/>
    </row>
    <row r="82" spans="1:3" x14ac:dyDescent="0.2">
      <c r="A82" s="127" t="s">
        <v>106</v>
      </c>
      <c r="C82" s="174"/>
    </row>
    <row r="83" spans="1:3" x14ac:dyDescent="0.2">
      <c r="A83" s="127" t="s">
        <v>124</v>
      </c>
    </row>
  </sheetData>
  <mergeCells count="3">
    <mergeCell ref="AI7:AK7"/>
    <mergeCell ref="K7:AB7"/>
    <mergeCell ref="AC7:AH7"/>
  </mergeCells>
  <phoneticPr fontId="10" type="noConversion"/>
  <conditionalFormatting sqref="F23:F26">
    <cfRule type="duplicateValues" dxfId="27" priority="520"/>
    <cfRule type="duplicateValues" dxfId="26" priority="521"/>
  </conditionalFormatting>
  <conditionalFormatting sqref="F32:F33">
    <cfRule type="duplicateValues" dxfId="25" priority="467"/>
  </conditionalFormatting>
  <conditionalFormatting sqref="F34">
    <cfRule type="duplicateValues" dxfId="24" priority="461"/>
  </conditionalFormatting>
  <conditionalFormatting sqref="F36">
    <cfRule type="duplicateValues" dxfId="23" priority="6"/>
  </conditionalFormatting>
  <conditionalFormatting sqref="F37:F42 F35">
    <cfRule type="duplicateValues" dxfId="22" priority="522"/>
  </conditionalFormatting>
  <conditionalFormatting sqref="F43:F68">
    <cfRule type="duplicateValues" dxfId="21" priority="537"/>
  </conditionalFormatting>
  <conditionalFormatting sqref="F69 F27:F31">
    <cfRule type="duplicateValues" dxfId="20" priority="445"/>
  </conditionalFormatting>
  <conditionalFormatting sqref="F71:F84 F89:F1048576 F1 F5:F22">
    <cfRule type="duplicateValues" dxfId="19" priority="413"/>
  </conditionalFormatting>
  <conditionalFormatting sqref="F71:F84 F89:F1048576 F18:F22">
    <cfRule type="duplicateValues" dxfId="18" priority="417"/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140" zoomScaleNormal="140" workbookViewId="0">
      <selection activeCell="K28" sqref="K28"/>
    </sheetView>
  </sheetViews>
  <sheetFormatPr baseColWidth="10" defaultColWidth="11.5" defaultRowHeight="14" x14ac:dyDescent="0.2"/>
  <cols>
    <col min="1" max="2" width="11.5" style="97"/>
    <col min="3" max="3" width="8.5" style="97" customWidth="1"/>
    <col min="4" max="4" width="34.83203125" style="97" customWidth="1"/>
    <col min="5" max="5" width="16" style="97" customWidth="1"/>
    <col min="6" max="6" width="11.5" style="97"/>
    <col min="7" max="7" width="20.33203125" style="97" customWidth="1"/>
    <col min="8" max="8" width="11.5" style="97"/>
    <col min="9" max="9" width="24" style="97" customWidth="1"/>
    <col min="10" max="16384" width="11.5" style="97"/>
  </cols>
  <sheetData>
    <row r="1" spans="1:18" ht="30" x14ac:dyDescent="0.2">
      <c r="A1" s="93" t="s">
        <v>126</v>
      </c>
      <c r="B1" s="94" t="s">
        <v>39</v>
      </c>
      <c r="C1" s="94" t="s">
        <v>137</v>
      </c>
      <c r="D1" s="95" t="s">
        <v>127</v>
      </c>
      <c r="E1" s="93" t="s">
        <v>128</v>
      </c>
      <c r="F1" s="95" t="s">
        <v>35</v>
      </c>
      <c r="G1" s="93" t="s">
        <v>129</v>
      </c>
      <c r="H1" s="93" t="s">
        <v>130</v>
      </c>
      <c r="I1" s="93" t="s">
        <v>143</v>
      </c>
      <c r="J1" s="93" t="s">
        <v>131</v>
      </c>
      <c r="K1" s="93" t="s">
        <v>132</v>
      </c>
      <c r="L1" s="93" t="s">
        <v>133</v>
      </c>
      <c r="M1" s="93" t="s">
        <v>134</v>
      </c>
      <c r="N1" s="93" t="s">
        <v>138</v>
      </c>
      <c r="O1" s="93" t="s">
        <v>139</v>
      </c>
      <c r="P1" s="93" t="s">
        <v>140</v>
      </c>
      <c r="Q1" s="96" t="s">
        <v>135</v>
      </c>
    </row>
    <row r="2" spans="1:18" s="90" customFormat="1" ht="12" x14ac:dyDescent="0.15">
      <c r="A2" s="86">
        <v>45356</v>
      </c>
      <c r="B2" s="87" t="s">
        <v>196</v>
      </c>
      <c r="C2" s="88" t="s">
        <v>141</v>
      </c>
      <c r="D2" s="89" t="s">
        <v>159</v>
      </c>
      <c r="E2" s="86" t="s">
        <v>195</v>
      </c>
      <c r="F2" s="89"/>
      <c r="G2" s="86" t="s">
        <v>194</v>
      </c>
      <c r="H2" s="86"/>
      <c r="I2" s="86"/>
      <c r="J2" s="86">
        <v>45559</v>
      </c>
      <c r="K2" s="86">
        <v>45565</v>
      </c>
      <c r="L2" s="79">
        <v>7</v>
      </c>
      <c r="M2" s="86" t="s">
        <v>197</v>
      </c>
      <c r="N2" s="86"/>
      <c r="O2" s="86"/>
      <c r="P2" s="62"/>
      <c r="Q2" s="88"/>
      <c r="R2" s="45"/>
    </row>
    <row r="3" spans="1:18" s="45" customFormat="1" ht="12" x14ac:dyDescent="0.15">
      <c r="A3" s="86">
        <v>45505</v>
      </c>
      <c r="B3" s="87" t="s">
        <v>198</v>
      </c>
      <c r="C3" s="88" t="s">
        <v>141</v>
      </c>
      <c r="D3" s="89" t="s">
        <v>161</v>
      </c>
      <c r="E3" s="86" t="s">
        <v>195</v>
      </c>
      <c r="F3" s="89"/>
      <c r="G3" s="86" t="s">
        <v>153</v>
      </c>
      <c r="H3" s="86"/>
      <c r="I3" s="86" t="s">
        <v>153</v>
      </c>
      <c r="J3" s="86">
        <v>45505</v>
      </c>
      <c r="K3" s="86">
        <v>45571</v>
      </c>
      <c r="L3" s="79">
        <v>98</v>
      </c>
      <c r="M3" s="86" t="s">
        <v>197</v>
      </c>
      <c r="N3" s="59"/>
      <c r="O3" s="86"/>
      <c r="P3" s="59"/>
      <c r="Q3" s="88"/>
    </row>
    <row r="4" spans="1:18" s="45" customFormat="1" ht="12" x14ac:dyDescent="0.15">
      <c r="A4" s="86">
        <v>45359</v>
      </c>
      <c r="B4" s="87" t="s">
        <v>199</v>
      </c>
      <c r="C4" s="88" t="s">
        <v>141</v>
      </c>
      <c r="D4" s="89" t="s">
        <v>171</v>
      </c>
      <c r="E4" s="86" t="s">
        <v>200</v>
      </c>
      <c r="F4" s="89"/>
      <c r="G4" s="86" t="s">
        <v>201</v>
      </c>
      <c r="H4" s="86"/>
      <c r="I4" s="86" t="s">
        <v>202</v>
      </c>
      <c r="J4" s="86">
        <v>45359</v>
      </c>
      <c r="K4" s="86">
        <v>45363</v>
      </c>
      <c r="L4" s="79">
        <v>5</v>
      </c>
      <c r="M4" s="86" t="s">
        <v>197</v>
      </c>
      <c r="N4" s="59"/>
      <c r="O4" s="86"/>
      <c r="P4" s="59"/>
      <c r="Q4" s="88"/>
    </row>
    <row r="5" spans="1:18" s="45" customFormat="1" ht="26" x14ac:dyDescent="0.15">
      <c r="A5" s="86">
        <v>45769</v>
      </c>
      <c r="B5" s="87" t="s">
        <v>220</v>
      </c>
      <c r="C5" s="88" t="s">
        <v>141</v>
      </c>
      <c r="D5" s="89" t="s">
        <v>207</v>
      </c>
      <c r="E5" s="86" t="s">
        <v>218</v>
      </c>
      <c r="F5" s="89"/>
      <c r="G5" s="91" t="s">
        <v>219</v>
      </c>
      <c r="H5" s="86"/>
      <c r="I5" s="91" t="s">
        <v>219</v>
      </c>
      <c r="J5" s="86">
        <v>45769</v>
      </c>
      <c r="K5" s="86">
        <v>45772</v>
      </c>
      <c r="L5" s="79">
        <v>4</v>
      </c>
      <c r="M5" s="86" t="s">
        <v>197</v>
      </c>
      <c r="N5" s="59"/>
      <c r="O5" s="86"/>
      <c r="P5" s="59"/>
      <c r="Q5" s="88"/>
    </row>
    <row r="6" spans="1:18" s="45" customFormat="1" ht="12" x14ac:dyDescent="0.15">
      <c r="A6" s="86">
        <v>45769</v>
      </c>
      <c r="B6" s="87" t="s">
        <v>222</v>
      </c>
      <c r="C6" s="88" t="s">
        <v>141</v>
      </c>
      <c r="D6" s="92" t="s">
        <v>214</v>
      </c>
      <c r="E6" s="86" t="s">
        <v>195</v>
      </c>
      <c r="F6" s="89"/>
      <c r="G6" s="86" t="s">
        <v>221</v>
      </c>
      <c r="H6" s="86"/>
      <c r="I6" s="86" t="s">
        <v>221</v>
      </c>
      <c r="J6" s="86">
        <v>45768</v>
      </c>
      <c r="K6" s="86">
        <v>45777</v>
      </c>
      <c r="L6" s="79">
        <v>10</v>
      </c>
      <c r="M6" s="86" t="s">
        <v>197</v>
      </c>
      <c r="N6" s="60"/>
      <c r="O6" s="59"/>
      <c r="P6" s="59"/>
      <c r="Q6" s="88"/>
    </row>
    <row r="7" spans="1:18" s="45" customFormat="1" ht="22.5" customHeight="1" x14ac:dyDescent="0.15">
      <c r="A7" s="86">
        <v>45777</v>
      </c>
      <c r="B7" s="87" t="s">
        <v>220</v>
      </c>
      <c r="C7" s="88" t="s">
        <v>179</v>
      </c>
      <c r="D7" s="89" t="s">
        <v>207</v>
      </c>
      <c r="E7" s="86" t="s">
        <v>195</v>
      </c>
      <c r="F7" s="89"/>
      <c r="G7" s="91" t="s">
        <v>219</v>
      </c>
      <c r="H7" s="86"/>
      <c r="I7" s="91" t="s">
        <v>219</v>
      </c>
      <c r="J7" s="86">
        <v>45775</v>
      </c>
      <c r="K7" s="86">
        <v>45779</v>
      </c>
      <c r="L7" s="79">
        <v>5</v>
      </c>
      <c r="M7" s="86" t="s">
        <v>225</v>
      </c>
      <c r="N7" s="60"/>
      <c r="O7" s="73"/>
      <c r="P7" s="59"/>
      <c r="Q7" s="88"/>
    </row>
    <row r="8" spans="1:18" s="45" customFormat="1" ht="12" x14ac:dyDescent="0.15">
      <c r="A8" s="86">
        <v>45782</v>
      </c>
      <c r="B8" s="87" t="s">
        <v>227</v>
      </c>
      <c r="C8" s="88" t="s">
        <v>141</v>
      </c>
      <c r="D8" s="89" t="s">
        <v>215</v>
      </c>
      <c r="E8" s="86" t="s">
        <v>218</v>
      </c>
      <c r="F8" s="89"/>
      <c r="G8" s="86" t="s">
        <v>224</v>
      </c>
      <c r="H8" s="86"/>
      <c r="I8" s="86" t="s">
        <v>226</v>
      </c>
      <c r="J8" s="86">
        <v>45782</v>
      </c>
      <c r="K8" s="86">
        <v>45782</v>
      </c>
      <c r="L8" s="79">
        <v>1</v>
      </c>
      <c r="M8" s="86" t="s">
        <v>225</v>
      </c>
      <c r="N8" s="60"/>
      <c r="O8" s="73"/>
      <c r="P8" s="59"/>
      <c r="Q8" s="88"/>
    </row>
    <row r="9" spans="1:18" s="45" customFormat="1" ht="12" x14ac:dyDescent="0.15">
      <c r="A9" s="86">
        <v>45798</v>
      </c>
      <c r="B9" s="87" t="s">
        <v>230</v>
      </c>
      <c r="C9" s="88" t="s">
        <v>141</v>
      </c>
      <c r="D9" s="89" t="s">
        <v>212</v>
      </c>
      <c r="E9" s="86" t="s">
        <v>218</v>
      </c>
      <c r="F9" s="89"/>
      <c r="G9" s="86" t="s">
        <v>229</v>
      </c>
      <c r="H9" s="86"/>
      <c r="I9" s="86" t="s">
        <v>229</v>
      </c>
      <c r="J9" s="86">
        <v>45796</v>
      </c>
      <c r="K9" s="86">
        <v>45800</v>
      </c>
      <c r="L9" s="79">
        <v>5</v>
      </c>
      <c r="M9" s="86" t="s">
        <v>197</v>
      </c>
      <c r="N9" s="60"/>
      <c r="O9" s="73"/>
      <c r="P9" s="59"/>
      <c r="Q9" s="88"/>
    </row>
    <row r="10" spans="1:18" s="45" customFormat="1" ht="12" x14ac:dyDescent="0.15">
      <c r="A10" s="86">
        <v>45810</v>
      </c>
      <c r="B10" s="87" t="s">
        <v>240</v>
      </c>
      <c r="C10" s="88" t="s">
        <v>179</v>
      </c>
      <c r="D10" s="89" t="s">
        <v>182</v>
      </c>
      <c r="E10" s="86" t="s">
        <v>218</v>
      </c>
      <c r="F10" s="89"/>
      <c r="G10" s="86" t="s">
        <v>241</v>
      </c>
      <c r="H10" s="86"/>
      <c r="I10" s="86" t="s">
        <v>241</v>
      </c>
      <c r="J10" s="86">
        <v>45810</v>
      </c>
      <c r="K10" s="86">
        <v>45810</v>
      </c>
      <c r="L10" s="79">
        <v>1</v>
      </c>
      <c r="M10" s="86" t="s">
        <v>225</v>
      </c>
      <c r="N10" s="60"/>
      <c r="O10" s="73"/>
      <c r="P10" s="59"/>
      <c r="Q10" s="88"/>
    </row>
    <row r="11" spans="1:18" s="45" customFormat="1" ht="12" x14ac:dyDescent="0.15">
      <c r="A11" s="86">
        <v>45824</v>
      </c>
      <c r="B11" s="87" t="s">
        <v>239</v>
      </c>
      <c r="C11" s="88" t="s">
        <v>237</v>
      </c>
      <c r="D11" s="89" t="s">
        <v>162</v>
      </c>
      <c r="E11" s="86" t="s">
        <v>200</v>
      </c>
      <c r="F11" s="89"/>
      <c r="G11" s="86" t="s">
        <v>238</v>
      </c>
      <c r="H11" s="86"/>
      <c r="I11" s="86" t="s">
        <v>238</v>
      </c>
      <c r="J11" s="86">
        <v>45824</v>
      </c>
      <c r="K11" s="86">
        <v>45824</v>
      </c>
      <c r="L11" s="79">
        <v>1</v>
      </c>
      <c r="M11" s="86" t="s">
        <v>225</v>
      </c>
      <c r="N11" s="60"/>
      <c r="O11" s="73"/>
      <c r="P11" s="59"/>
      <c r="Q11" s="88"/>
    </row>
    <row r="12" spans="1:18" s="45" customFormat="1" ht="12" x14ac:dyDescent="0.15">
      <c r="A12" s="86">
        <v>45827</v>
      </c>
      <c r="B12" s="87" t="s">
        <v>242</v>
      </c>
      <c r="C12" s="88" t="s">
        <v>237</v>
      </c>
      <c r="D12" s="89" t="s">
        <v>232</v>
      </c>
      <c r="E12" s="86" t="s">
        <v>218</v>
      </c>
      <c r="F12" s="89"/>
      <c r="G12" s="86" t="s">
        <v>238</v>
      </c>
      <c r="H12" s="86"/>
      <c r="I12" s="86" t="s">
        <v>238</v>
      </c>
      <c r="J12" s="86">
        <v>45827</v>
      </c>
      <c r="K12" s="86">
        <v>45828</v>
      </c>
      <c r="L12" s="79">
        <v>2</v>
      </c>
      <c r="M12" s="86" t="s">
        <v>197</v>
      </c>
      <c r="N12" s="60"/>
      <c r="O12" s="73"/>
      <c r="P12" s="59"/>
      <c r="Q12" s="88"/>
    </row>
    <row r="13" spans="1:18" s="45" customFormat="1" ht="12" x14ac:dyDescent="0.15">
      <c r="A13" s="86">
        <v>45869</v>
      </c>
      <c r="B13" s="87" t="s">
        <v>248</v>
      </c>
      <c r="C13" s="88" t="s">
        <v>233</v>
      </c>
      <c r="D13" s="89" t="s">
        <v>235</v>
      </c>
      <c r="E13" s="86" t="s">
        <v>218</v>
      </c>
      <c r="F13" s="89"/>
      <c r="G13" s="86" t="s">
        <v>247</v>
      </c>
      <c r="H13" s="86"/>
      <c r="I13" s="86" t="s">
        <v>247</v>
      </c>
      <c r="J13" s="86">
        <v>45869</v>
      </c>
      <c r="K13" s="86">
        <v>45870</v>
      </c>
      <c r="L13" s="79">
        <v>2</v>
      </c>
      <c r="M13" s="86" t="s">
        <v>225</v>
      </c>
      <c r="N13" s="60"/>
      <c r="O13" s="73"/>
      <c r="P13" s="59"/>
      <c r="Q13" s="88"/>
    </row>
    <row r="14" spans="1:18" s="45" customFormat="1" ht="12" x14ac:dyDescent="0.15">
      <c r="A14" s="86">
        <v>45933</v>
      </c>
      <c r="B14" s="87" t="s">
        <v>256</v>
      </c>
      <c r="C14" s="88" t="s">
        <v>237</v>
      </c>
      <c r="D14" s="89" t="s">
        <v>231</v>
      </c>
      <c r="E14" s="86" t="s">
        <v>218</v>
      </c>
      <c r="F14" s="89"/>
      <c r="G14" s="86" t="s">
        <v>257</v>
      </c>
      <c r="H14" s="86"/>
      <c r="I14" s="86" t="s">
        <v>257</v>
      </c>
      <c r="J14" s="86">
        <v>45933</v>
      </c>
      <c r="K14" s="86">
        <v>45934</v>
      </c>
      <c r="L14" s="79">
        <v>2</v>
      </c>
      <c r="M14" s="86" t="s">
        <v>225</v>
      </c>
      <c r="N14" s="60"/>
      <c r="O14" s="73"/>
      <c r="P14" s="59"/>
      <c r="Q14" s="88"/>
    </row>
    <row r="15" spans="1:18" s="45" customFormat="1" ht="12" x14ac:dyDescent="0.15">
      <c r="A15" s="86">
        <v>45936</v>
      </c>
      <c r="B15" s="87" t="s">
        <v>256</v>
      </c>
      <c r="C15" s="88" t="s">
        <v>237</v>
      </c>
      <c r="D15" s="89" t="s">
        <v>231</v>
      </c>
      <c r="E15" s="86" t="s">
        <v>218</v>
      </c>
      <c r="F15" s="89"/>
      <c r="G15" s="86" t="s">
        <v>224</v>
      </c>
      <c r="H15" s="86"/>
      <c r="I15" s="86" t="s">
        <v>224</v>
      </c>
      <c r="J15" s="86">
        <v>45936</v>
      </c>
      <c r="K15" s="86">
        <v>45936</v>
      </c>
      <c r="L15" s="79">
        <v>1</v>
      </c>
      <c r="M15" s="86" t="s">
        <v>225</v>
      </c>
      <c r="N15" s="60"/>
      <c r="O15" s="73"/>
      <c r="P15" s="59"/>
      <c r="Q15" s="88"/>
    </row>
    <row r="16" spans="1:18" s="45" customFormat="1" ht="12" x14ac:dyDescent="0.15">
      <c r="A16" s="86">
        <v>45939</v>
      </c>
      <c r="B16" s="87" t="s">
        <v>255</v>
      </c>
      <c r="C16" s="88" t="s">
        <v>141</v>
      </c>
      <c r="D16" s="89" t="s">
        <v>252</v>
      </c>
      <c r="E16" s="86" t="s">
        <v>218</v>
      </c>
      <c r="F16" s="89"/>
      <c r="G16" s="86" t="s">
        <v>254</v>
      </c>
      <c r="H16" s="86"/>
      <c r="I16" s="86" t="s">
        <v>253</v>
      </c>
      <c r="J16" s="86">
        <v>45939</v>
      </c>
      <c r="K16" s="86">
        <v>45940</v>
      </c>
      <c r="L16" s="79">
        <v>2</v>
      </c>
      <c r="M16" s="86" t="s">
        <v>225</v>
      </c>
      <c r="N16" s="60"/>
      <c r="O16" s="73"/>
      <c r="P16" s="59"/>
      <c r="Q16" s="88"/>
    </row>
    <row r="17" spans="1:17" x14ac:dyDescent="0.2">
      <c r="A17" s="98">
        <v>45962</v>
      </c>
      <c r="B17" s="99" t="s">
        <v>260</v>
      </c>
      <c r="C17" s="100" t="s">
        <v>179</v>
      </c>
      <c r="D17" s="89" t="s">
        <v>245</v>
      </c>
      <c r="E17" s="98" t="s">
        <v>195</v>
      </c>
      <c r="F17" s="101"/>
      <c r="G17" s="98" t="s">
        <v>261</v>
      </c>
      <c r="H17" s="98"/>
      <c r="I17" s="98" t="s">
        <v>262</v>
      </c>
      <c r="J17" s="98">
        <v>45952</v>
      </c>
      <c r="K17" s="98">
        <v>45966</v>
      </c>
      <c r="L17" s="102">
        <v>15</v>
      </c>
      <c r="M17" s="104" t="s">
        <v>197</v>
      </c>
      <c r="N17" s="104"/>
      <c r="O17" s="105"/>
      <c r="P17" s="103"/>
      <c r="Q17" s="100"/>
    </row>
    <row r="18" spans="1:17" x14ac:dyDescent="0.2">
      <c r="A18" s="98">
        <v>46006</v>
      </c>
      <c r="B18" s="99" t="s">
        <v>255</v>
      </c>
      <c r="C18" s="88" t="s">
        <v>141</v>
      </c>
      <c r="D18" s="101" t="s">
        <v>265</v>
      </c>
      <c r="E18" s="98" t="s">
        <v>195</v>
      </c>
      <c r="F18" s="101"/>
      <c r="G18" s="98" t="s">
        <v>266</v>
      </c>
      <c r="H18" s="98"/>
      <c r="I18" s="98" t="s">
        <v>266</v>
      </c>
      <c r="J18" s="98">
        <v>46003</v>
      </c>
      <c r="K18" s="98">
        <v>46007</v>
      </c>
      <c r="L18" s="102">
        <v>5</v>
      </c>
      <c r="M18" s="104" t="s">
        <v>197</v>
      </c>
      <c r="N18" s="104"/>
      <c r="O18" s="105"/>
      <c r="P18" s="103"/>
      <c r="Q18" s="100"/>
    </row>
    <row r="19" spans="1:17" x14ac:dyDescent="0.2">
      <c r="A19" s="98">
        <v>46001</v>
      </c>
      <c r="B19" s="99" t="s">
        <v>269</v>
      </c>
      <c r="C19" s="88" t="s">
        <v>141</v>
      </c>
      <c r="D19" s="101" t="s">
        <v>165</v>
      </c>
      <c r="E19" s="98" t="s">
        <v>195</v>
      </c>
      <c r="F19" s="101"/>
      <c r="G19" s="98" t="s">
        <v>267</v>
      </c>
      <c r="H19" s="98"/>
      <c r="I19" s="98" t="s">
        <v>268</v>
      </c>
      <c r="J19" s="98">
        <v>46000</v>
      </c>
      <c r="K19" s="98">
        <v>46001</v>
      </c>
      <c r="L19" s="102">
        <v>2</v>
      </c>
      <c r="M19" s="104" t="s">
        <v>197</v>
      </c>
      <c r="N19" s="104"/>
      <c r="O19" s="105"/>
      <c r="P19" s="103"/>
      <c r="Q19" s="100"/>
    </row>
    <row r="20" spans="1:17" x14ac:dyDescent="0.2">
      <c r="A20" s="98">
        <v>46009</v>
      </c>
      <c r="B20" s="99" t="s">
        <v>272</v>
      </c>
      <c r="C20" s="88" t="s">
        <v>141</v>
      </c>
      <c r="D20" s="101" t="s">
        <v>251</v>
      </c>
      <c r="E20" s="98" t="s">
        <v>195</v>
      </c>
      <c r="F20" s="101"/>
      <c r="G20" s="98" t="s">
        <v>271</v>
      </c>
      <c r="H20" s="98"/>
      <c r="I20" s="98" t="s">
        <v>271</v>
      </c>
      <c r="J20" s="98">
        <v>46009</v>
      </c>
      <c r="K20" s="98">
        <v>46020</v>
      </c>
      <c r="L20" s="102">
        <v>12</v>
      </c>
      <c r="M20" s="104" t="s">
        <v>197</v>
      </c>
      <c r="N20" s="104"/>
      <c r="O20" s="105"/>
      <c r="P20" s="103"/>
      <c r="Q20" s="100"/>
    </row>
    <row r="21" spans="1:17" x14ac:dyDescent="0.2">
      <c r="A21" s="98">
        <v>46030</v>
      </c>
      <c r="B21" s="99">
        <v>43223648</v>
      </c>
      <c r="C21" s="88" t="s">
        <v>141</v>
      </c>
      <c r="D21" s="107" t="s">
        <v>217</v>
      </c>
      <c r="E21" s="98" t="s">
        <v>195</v>
      </c>
      <c r="F21" s="101"/>
      <c r="G21" s="98" t="s">
        <v>273</v>
      </c>
      <c r="H21" s="98"/>
      <c r="I21" s="98" t="s">
        <v>273</v>
      </c>
      <c r="J21" s="98">
        <v>46030</v>
      </c>
      <c r="K21" s="98">
        <v>46031</v>
      </c>
      <c r="L21" s="102">
        <v>2</v>
      </c>
      <c r="M21" s="104" t="s">
        <v>197</v>
      </c>
      <c r="N21" s="104"/>
      <c r="O21" s="105"/>
      <c r="P21" s="103"/>
      <c r="Q21" s="100"/>
    </row>
    <row r="22" spans="1:17" x14ac:dyDescent="0.2">
      <c r="A22" s="98">
        <v>46043</v>
      </c>
      <c r="B22" s="99">
        <v>47379790</v>
      </c>
      <c r="C22" s="88" t="s">
        <v>141</v>
      </c>
      <c r="D22" s="107" t="s">
        <v>246</v>
      </c>
      <c r="E22" s="98" t="s">
        <v>195</v>
      </c>
      <c r="F22" s="101"/>
      <c r="G22" s="98"/>
      <c r="H22" s="98"/>
      <c r="I22" s="98"/>
      <c r="J22" s="98">
        <v>46043</v>
      </c>
      <c r="K22" s="98">
        <v>46044</v>
      </c>
      <c r="L22" s="102">
        <v>2</v>
      </c>
      <c r="M22" s="104" t="s">
        <v>197</v>
      </c>
      <c r="N22" s="104"/>
      <c r="O22" s="105"/>
      <c r="P22" s="103"/>
      <c r="Q22" s="100"/>
    </row>
    <row r="23" spans="1:17" x14ac:dyDescent="0.2">
      <c r="A23" s="98">
        <v>46104</v>
      </c>
      <c r="B23" s="99">
        <v>76010656</v>
      </c>
      <c r="C23" s="88" t="s">
        <v>141</v>
      </c>
      <c r="D23" s="107" t="s">
        <v>264</v>
      </c>
      <c r="E23" s="98" t="s">
        <v>195</v>
      </c>
      <c r="F23" s="101"/>
      <c r="G23" s="98" t="s">
        <v>279</v>
      </c>
      <c r="H23" s="98"/>
      <c r="I23" s="98" t="s">
        <v>279</v>
      </c>
      <c r="J23" s="98">
        <v>46104</v>
      </c>
      <c r="K23" s="98">
        <v>46104</v>
      </c>
      <c r="L23" s="102">
        <v>1</v>
      </c>
      <c r="M23" s="104" t="s">
        <v>197</v>
      </c>
      <c r="N23" s="104"/>
      <c r="O23" s="105"/>
      <c r="P23" s="103"/>
      <c r="Q23" s="100"/>
    </row>
    <row r="24" spans="1:17" x14ac:dyDescent="0.2">
      <c r="A24" s="98">
        <v>46147</v>
      </c>
      <c r="B24" s="99">
        <v>74052807</v>
      </c>
      <c r="C24" s="88" t="s">
        <v>141</v>
      </c>
      <c r="D24" s="107" t="s">
        <v>284</v>
      </c>
      <c r="E24" s="98" t="s">
        <v>195</v>
      </c>
      <c r="F24" s="101"/>
      <c r="G24" s="98" t="s">
        <v>291</v>
      </c>
      <c r="H24" s="98"/>
      <c r="I24" s="98" t="s">
        <v>291</v>
      </c>
      <c r="J24" s="98">
        <v>46147</v>
      </c>
      <c r="K24" s="98">
        <v>46147</v>
      </c>
      <c r="L24" s="102">
        <v>1</v>
      </c>
      <c r="M24" s="104" t="s">
        <v>197</v>
      </c>
      <c r="N24" s="104"/>
      <c r="O24" s="105"/>
      <c r="P24" s="103"/>
      <c r="Q24" s="100"/>
    </row>
    <row r="25" spans="1:17" x14ac:dyDescent="0.2">
      <c r="A25" s="98">
        <v>46176</v>
      </c>
      <c r="B25" s="99" t="s">
        <v>303</v>
      </c>
      <c r="C25" s="88" t="s">
        <v>141</v>
      </c>
      <c r="D25" s="107" t="s">
        <v>223</v>
      </c>
      <c r="E25" s="98" t="s">
        <v>200</v>
      </c>
      <c r="F25" s="101"/>
      <c r="G25" s="98" t="s">
        <v>304</v>
      </c>
      <c r="H25" s="98"/>
      <c r="I25" s="98" t="s">
        <v>304</v>
      </c>
      <c r="J25" s="98">
        <v>46176</v>
      </c>
      <c r="K25" s="98">
        <v>46177</v>
      </c>
      <c r="L25" s="102">
        <v>2</v>
      </c>
      <c r="M25" s="104" t="s">
        <v>197</v>
      </c>
      <c r="N25" s="104"/>
      <c r="O25" s="105"/>
      <c r="P25" s="103"/>
      <c r="Q25" s="100"/>
    </row>
    <row r="26" spans="1:17" x14ac:dyDescent="0.2">
      <c r="A26" s="98">
        <v>46192</v>
      </c>
      <c r="B26" s="99">
        <v>47379790</v>
      </c>
      <c r="C26" s="88" t="s">
        <v>141</v>
      </c>
      <c r="D26" s="107" t="s">
        <v>246</v>
      </c>
      <c r="E26" s="98" t="s">
        <v>195</v>
      </c>
      <c r="F26" s="101"/>
      <c r="G26" s="98" t="s">
        <v>305</v>
      </c>
      <c r="H26" s="98"/>
      <c r="I26" s="98" t="s">
        <v>305</v>
      </c>
      <c r="J26" s="98">
        <v>46192</v>
      </c>
      <c r="K26" s="98">
        <v>46195</v>
      </c>
      <c r="L26" s="102">
        <v>4</v>
      </c>
      <c r="M26" s="104" t="s">
        <v>197</v>
      </c>
      <c r="N26" s="104"/>
      <c r="O26" s="105"/>
      <c r="P26" s="103"/>
      <c r="Q26" s="100"/>
    </row>
    <row r="27" spans="1:17" x14ac:dyDescent="0.2">
      <c r="A27" s="98">
        <v>46223</v>
      </c>
      <c r="B27" s="99">
        <v>7758922</v>
      </c>
      <c r="C27" s="88" t="s">
        <v>141</v>
      </c>
      <c r="D27" s="107" t="s">
        <v>172</v>
      </c>
      <c r="E27" s="98" t="s">
        <v>200</v>
      </c>
      <c r="F27" s="101"/>
      <c r="G27" s="98" t="s">
        <v>313</v>
      </c>
      <c r="H27" s="98"/>
      <c r="I27" s="98" t="s">
        <v>279</v>
      </c>
      <c r="J27" s="98">
        <v>46223</v>
      </c>
      <c r="K27" s="98">
        <v>46223</v>
      </c>
      <c r="L27" s="102">
        <v>1</v>
      </c>
      <c r="M27" s="104" t="s">
        <v>197</v>
      </c>
      <c r="N27" s="104"/>
      <c r="O27" s="105"/>
      <c r="P27" s="103"/>
      <c r="Q27" s="100"/>
    </row>
  </sheetData>
  <autoFilter ref="A1:R4" xr:uid="{00000000-0009-0000-0000-000001000000}"/>
  <phoneticPr fontId="10" type="noConversion"/>
  <conditionalFormatting sqref="D21">
    <cfRule type="duplicateValues" dxfId="17" priority="9"/>
    <cfRule type="duplicateValues" dxfId="16" priority="10"/>
  </conditionalFormatting>
  <conditionalFormatting sqref="D22">
    <cfRule type="duplicateValues" dxfId="15" priority="7"/>
    <cfRule type="duplicateValues" dxfId="14" priority="8"/>
  </conditionalFormatting>
  <conditionalFormatting sqref="D23:D27">
    <cfRule type="duplicateValues" dxfId="13" priority="5"/>
    <cfRule type="duplicateValues" dxfId="1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33"/>
  <sheetViews>
    <sheetView showGridLines="0" zoomScale="110" zoomScaleNormal="110" workbookViewId="0">
      <pane ySplit="1" topLeftCell="A2" activePane="bottomLeft" state="frozen"/>
      <selection pane="bottomLeft" activeCell="M26" sqref="M26"/>
    </sheetView>
  </sheetViews>
  <sheetFormatPr baseColWidth="10" defaultColWidth="11.5" defaultRowHeight="12" x14ac:dyDescent="0.15"/>
  <cols>
    <col min="1" max="2" width="4" style="48" customWidth="1"/>
    <col min="3" max="3" width="23" style="48" customWidth="1"/>
    <col min="4" max="4" width="16.1640625" style="48" customWidth="1"/>
    <col min="5" max="5" width="10.33203125" style="48" customWidth="1"/>
    <col min="6" max="6" width="13.6640625" style="48" customWidth="1"/>
    <col min="7" max="7" width="32.6640625" style="48" customWidth="1"/>
    <col min="8" max="8" width="18.5" style="48" customWidth="1"/>
    <col min="9" max="9" width="9.6640625" style="48" customWidth="1"/>
    <col min="10" max="11" width="9.33203125" style="48" customWidth="1"/>
    <col min="12" max="12" width="10.5" style="48" customWidth="1"/>
    <col min="13" max="13" width="11.5" style="48" customWidth="1"/>
    <col min="14" max="14" width="12.5" style="48" customWidth="1"/>
    <col min="15" max="15" width="14.5" style="48" customWidth="1"/>
    <col min="16" max="16" width="11.5" style="48"/>
    <col min="17" max="17" width="12.5" style="48" customWidth="1"/>
    <col min="18" max="18" width="14.5" style="48" customWidth="1"/>
    <col min="19" max="19" width="11.5" style="48"/>
    <col min="20" max="20" width="12.5" style="48" customWidth="1"/>
    <col min="21" max="21" width="14.5" style="48" customWidth="1"/>
    <col min="22" max="24" width="11.5" style="48"/>
    <col min="25" max="25" width="43.5" style="48" customWidth="1"/>
    <col min="26" max="16384" width="11.5" style="48"/>
  </cols>
  <sheetData>
    <row r="1" spans="1:51" ht="15" customHeight="1" x14ac:dyDescent="0.15">
      <c r="I1" s="218" t="s">
        <v>151</v>
      </c>
      <c r="J1" s="218"/>
      <c r="K1" s="218"/>
      <c r="L1" s="218"/>
      <c r="M1" s="219"/>
      <c r="N1" s="220" t="s">
        <v>152</v>
      </c>
      <c r="O1" s="218"/>
      <c r="P1" s="218"/>
      <c r="Q1" s="220" t="s">
        <v>152</v>
      </c>
      <c r="R1" s="218"/>
      <c r="S1" s="218"/>
      <c r="T1" s="220" t="s">
        <v>152</v>
      </c>
      <c r="U1" s="218"/>
      <c r="V1" s="218"/>
      <c r="W1" s="221" t="s">
        <v>136</v>
      </c>
      <c r="X1" s="221"/>
      <c r="Y1" s="221"/>
      <c r="Z1" s="221"/>
      <c r="AA1" s="221"/>
      <c r="AB1" s="222"/>
    </row>
    <row r="2" spans="1:51" ht="26" x14ac:dyDescent="0.15">
      <c r="A2" s="112" t="s">
        <v>1</v>
      </c>
      <c r="B2" s="112"/>
      <c r="C2" s="112" t="s">
        <v>2</v>
      </c>
      <c r="D2" s="113" t="s">
        <v>3</v>
      </c>
      <c r="E2" s="114" t="s">
        <v>25</v>
      </c>
      <c r="F2" s="112" t="s">
        <v>27</v>
      </c>
      <c r="G2" s="115" t="s">
        <v>4</v>
      </c>
      <c r="H2" s="115" t="s">
        <v>203</v>
      </c>
      <c r="I2" s="46" t="s">
        <v>190</v>
      </c>
      <c r="J2" s="46" t="s">
        <v>191</v>
      </c>
      <c r="K2" s="49" t="s">
        <v>103</v>
      </c>
      <c r="L2" s="46" t="s">
        <v>102</v>
      </c>
      <c r="M2" s="46" t="s">
        <v>117</v>
      </c>
      <c r="N2" s="63" t="s">
        <v>190</v>
      </c>
      <c r="O2" s="64" t="s">
        <v>149</v>
      </c>
      <c r="P2" s="65" t="s">
        <v>150</v>
      </c>
      <c r="Q2" s="63" t="s">
        <v>294</v>
      </c>
      <c r="R2" s="64" t="s">
        <v>149</v>
      </c>
      <c r="S2" s="65" t="s">
        <v>150</v>
      </c>
      <c r="T2" s="63" t="s">
        <v>295</v>
      </c>
      <c r="U2" s="64" t="s">
        <v>149</v>
      </c>
      <c r="V2" s="65" t="s">
        <v>150</v>
      </c>
      <c r="W2" s="46"/>
      <c r="X2" s="46"/>
      <c r="Y2" s="46"/>
      <c r="Z2" s="49"/>
      <c r="AA2" s="46"/>
      <c r="AB2" s="46"/>
    </row>
    <row r="3" spans="1:51" ht="13" x14ac:dyDescent="0.15">
      <c r="A3" s="116">
        <v>4</v>
      </c>
      <c r="B3" s="116"/>
      <c r="C3" s="121" t="s">
        <v>188</v>
      </c>
      <c r="D3" s="117">
        <v>45108</v>
      </c>
      <c r="E3" s="116">
        <v>1500</v>
      </c>
      <c r="F3" s="118" t="s">
        <v>141</v>
      </c>
      <c r="G3" s="119" t="s">
        <v>158</v>
      </c>
      <c r="H3" s="119" t="s">
        <v>197</v>
      </c>
      <c r="I3" s="84"/>
      <c r="J3" s="80"/>
      <c r="K3" s="84"/>
      <c r="L3" s="85"/>
      <c r="M3" s="85"/>
      <c r="N3" s="81"/>
      <c r="O3" s="82"/>
      <c r="P3" s="83"/>
      <c r="Q3" s="81"/>
      <c r="R3" s="82"/>
      <c r="S3" s="83"/>
      <c r="T3" s="81"/>
      <c r="U3" s="82"/>
      <c r="V3" s="83"/>
      <c r="W3" s="80"/>
      <c r="X3" s="80"/>
      <c r="Y3" s="80"/>
      <c r="Z3" s="80"/>
      <c r="AA3" s="80"/>
      <c r="AB3" s="80"/>
    </row>
    <row r="4" spans="1:51" ht="13" x14ac:dyDescent="0.15">
      <c r="A4" s="116">
        <v>5</v>
      </c>
      <c r="B4" s="116"/>
      <c r="C4" s="121" t="s">
        <v>183</v>
      </c>
      <c r="D4" s="117">
        <v>45108</v>
      </c>
      <c r="E4" s="116">
        <v>1500</v>
      </c>
      <c r="F4" s="118" t="s">
        <v>233</v>
      </c>
      <c r="G4" s="119" t="s">
        <v>159</v>
      </c>
      <c r="H4" s="119" t="s">
        <v>197</v>
      </c>
      <c r="I4" s="84"/>
      <c r="J4" s="80"/>
      <c r="K4" s="84"/>
      <c r="L4" s="85"/>
      <c r="M4" s="85"/>
      <c r="N4" s="81"/>
      <c r="O4" s="82"/>
      <c r="P4" s="83"/>
      <c r="Q4" s="81"/>
      <c r="R4" s="82"/>
      <c r="S4" s="83"/>
      <c r="T4" s="81"/>
      <c r="U4" s="82"/>
      <c r="V4" s="83"/>
      <c r="W4" s="80"/>
      <c r="X4" s="80"/>
      <c r="Y4" s="80"/>
      <c r="Z4" s="80"/>
      <c r="AA4" s="80"/>
      <c r="AB4" s="80"/>
    </row>
    <row r="5" spans="1:51" ht="13" x14ac:dyDescent="0.15">
      <c r="A5" s="116">
        <v>7</v>
      </c>
      <c r="B5" s="116"/>
      <c r="C5" s="121" t="s">
        <v>184</v>
      </c>
      <c r="D5" s="117">
        <v>45108</v>
      </c>
      <c r="E5" s="116">
        <v>1500</v>
      </c>
      <c r="F5" s="118" t="s">
        <v>233</v>
      </c>
      <c r="G5" s="119" t="s">
        <v>161</v>
      </c>
      <c r="H5" s="119" t="s">
        <v>197</v>
      </c>
      <c r="I5" s="84"/>
      <c r="J5" s="80"/>
      <c r="K5" s="84"/>
      <c r="L5" s="85"/>
      <c r="M5" s="85"/>
      <c r="N5" s="81"/>
      <c r="O5" s="82"/>
      <c r="P5" s="83"/>
      <c r="Q5" s="81"/>
      <c r="R5" s="82"/>
      <c r="S5" s="83"/>
      <c r="T5" s="81"/>
      <c r="U5" s="82"/>
      <c r="V5" s="83"/>
      <c r="W5" s="80"/>
      <c r="X5" s="80"/>
      <c r="Y5" s="80"/>
      <c r="Z5" s="80"/>
      <c r="AA5" s="80"/>
      <c r="AB5" s="80"/>
    </row>
    <row r="6" spans="1:51" s="60" customFormat="1" ht="13" x14ac:dyDescent="0.15">
      <c r="A6" s="116">
        <v>10</v>
      </c>
      <c r="B6" s="116"/>
      <c r="C6" s="121" t="s">
        <v>188</v>
      </c>
      <c r="D6" s="117">
        <v>45108</v>
      </c>
      <c r="E6" s="116">
        <v>1500</v>
      </c>
      <c r="F6" s="118" t="s">
        <v>141</v>
      </c>
      <c r="G6" s="119" t="s">
        <v>163</v>
      </c>
      <c r="H6" s="119" t="s">
        <v>197</v>
      </c>
      <c r="L6" s="66"/>
      <c r="M6" s="66"/>
      <c r="N6" s="72"/>
      <c r="O6" s="66"/>
      <c r="P6" s="61"/>
      <c r="Q6" s="72"/>
      <c r="R6" s="66"/>
      <c r="S6" s="61"/>
      <c r="T6" s="72"/>
      <c r="U6" s="66"/>
      <c r="V6" s="61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</row>
    <row r="7" spans="1:51" s="47" customFormat="1" ht="13" x14ac:dyDescent="0.15">
      <c r="A7" s="116">
        <v>14</v>
      </c>
      <c r="C7" s="121" t="s">
        <v>185</v>
      </c>
      <c r="D7" s="117">
        <v>45177</v>
      </c>
      <c r="E7" s="116">
        <v>2300</v>
      </c>
      <c r="F7" s="118" t="s">
        <v>233</v>
      </c>
      <c r="G7" s="119" t="s">
        <v>170</v>
      </c>
      <c r="H7" s="119" t="s">
        <v>197</v>
      </c>
      <c r="L7" s="78"/>
      <c r="M7" s="78"/>
      <c r="N7" s="79"/>
      <c r="O7" s="78"/>
      <c r="P7" s="69"/>
      <c r="Q7" s="79"/>
      <c r="R7" s="78"/>
      <c r="S7" s="69"/>
      <c r="T7" s="79"/>
      <c r="U7" s="78"/>
      <c r="V7" s="69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</row>
    <row r="8" spans="1:51" ht="13" x14ac:dyDescent="0.15">
      <c r="A8" s="116">
        <v>15</v>
      </c>
      <c r="B8" s="60"/>
      <c r="C8" s="121" t="s">
        <v>173</v>
      </c>
      <c r="D8" s="13">
        <v>45203</v>
      </c>
      <c r="E8" s="116">
        <v>3000</v>
      </c>
      <c r="F8" s="118" t="s">
        <v>233</v>
      </c>
      <c r="G8" s="121" t="s">
        <v>171</v>
      </c>
      <c r="H8" s="119" t="s">
        <v>197</v>
      </c>
      <c r="I8" s="60"/>
      <c r="J8" s="60"/>
      <c r="K8" s="60"/>
      <c r="L8" s="66"/>
      <c r="M8" s="66"/>
      <c r="N8" s="72"/>
      <c r="O8" s="60"/>
      <c r="P8" s="60"/>
      <c r="Q8" s="72"/>
      <c r="R8" s="60"/>
      <c r="S8" s="60"/>
      <c r="T8" s="72"/>
      <c r="U8" s="60"/>
      <c r="V8" s="60"/>
      <c r="W8" s="60"/>
      <c r="X8" s="60"/>
      <c r="Y8" s="60"/>
      <c r="Z8" s="60"/>
      <c r="AA8" s="60"/>
      <c r="AB8" s="60"/>
    </row>
    <row r="9" spans="1:51" s="60" customFormat="1" ht="13" x14ac:dyDescent="0.15">
      <c r="A9" s="116">
        <v>2</v>
      </c>
      <c r="C9" s="121" t="s">
        <v>206</v>
      </c>
      <c r="D9" s="13">
        <v>45108</v>
      </c>
      <c r="E9" s="120">
        <v>10800</v>
      </c>
      <c r="F9" s="118" t="s">
        <v>141</v>
      </c>
      <c r="G9" s="121" t="s">
        <v>38</v>
      </c>
      <c r="H9" s="119" t="s">
        <v>197</v>
      </c>
      <c r="L9" s="66"/>
      <c r="M9" s="66"/>
      <c r="N9" s="67"/>
      <c r="O9" s="68"/>
      <c r="P9" s="61"/>
      <c r="Q9" s="67"/>
      <c r="R9" s="68"/>
      <c r="S9" s="61"/>
      <c r="T9" s="67"/>
      <c r="U9" s="68"/>
      <c r="V9" s="61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</row>
    <row r="10" spans="1:51" s="124" customFormat="1" ht="13" x14ac:dyDescent="0.15">
      <c r="A10" s="116">
        <v>11</v>
      </c>
      <c r="B10" s="47"/>
      <c r="C10" s="121" t="s">
        <v>205</v>
      </c>
      <c r="D10" s="13">
        <v>45352</v>
      </c>
      <c r="E10" s="121">
        <v>1800</v>
      </c>
      <c r="F10" s="122" t="s">
        <v>233</v>
      </c>
      <c r="G10" s="121" t="s">
        <v>181</v>
      </c>
      <c r="H10" s="119" t="s">
        <v>197</v>
      </c>
      <c r="I10" s="47"/>
      <c r="J10" s="47"/>
      <c r="K10" s="47"/>
      <c r="L10" s="78"/>
      <c r="M10" s="78"/>
      <c r="N10" s="79"/>
      <c r="O10" s="47"/>
      <c r="P10" s="61"/>
      <c r="Q10" s="79"/>
      <c r="R10" s="47"/>
      <c r="S10" s="61"/>
      <c r="T10" s="79"/>
      <c r="U10" s="47"/>
      <c r="V10" s="61"/>
      <c r="W10" s="47"/>
      <c r="X10" s="47"/>
      <c r="Y10" s="47" t="s">
        <v>228</v>
      </c>
      <c r="Z10" s="47"/>
      <c r="AA10" s="47"/>
      <c r="AB10" s="47"/>
    </row>
    <row r="11" spans="1:51" s="124" customFormat="1" ht="13" x14ac:dyDescent="0.15">
      <c r="A11" s="116">
        <v>2</v>
      </c>
      <c r="B11" s="47"/>
      <c r="C11" s="121" t="s">
        <v>188</v>
      </c>
      <c r="D11" s="13">
        <v>45108</v>
      </c>
      <c r="E11" s="121">
        <v>1700</v>
      </c>
      <c r="F11" s="122" t="s">
        <v>237</v>
      </c>
      <c r="G11" s="121" t="s">
        <v>158</v>
      </c>
      <c r="H11" s="119" t="s">
        <v>197</v>
      </c>
      <c r="I11" s="47"/>
      <c r="J11" s="47"/>
      <c r="K11" s="47">
        <v>7</v>
      </c>
      <c r="L11" s="78">
        <v>45831</v>
      </c>
      <c r="M11" s="78">
        <v>45837</v>
      </c>
      <c r="N11" s="79"/>
      <c r="O11" s="47"/>
      <c r="P11" s="61"/>
      <c r="Q11" s="79"/>
      <c r="R11" s="47"/>
      <c r="S11" s="61"/>
      <c r="T11" s="79"/>
      <c r="U11" s="47"/>
      <c r="V11" s="61"/>
      <c r="W11" s="47"/>
      <c r="X11" s="47"/>
      <c r="Y11" s="47"/>
      <c r="Z11" s="47"/>
      <c r="AA11" s="47"/>
      <c r="AB11" s="47"/>
    </row>
    <row r="12" spans="1:51" s="124" customFormat="1" ht="13" x14ac:dyDescent="0.15">
      <c r="A12" s="116">
        <v>4</v>
      </c>
      <c r="B12" s="47"/>
      <c r="C12" s="121" t="s">
        <v>164</v>
      </c>
      <c r="D12" s="13">
        <v>45108</v>
      </c>
      <c r="E12" s="121">
        <v>2300</v>
      </c>
      <c r="F12" s="122" t="s">
        <v>237</v>
      </c>
      <c r="G12" s="121" t="s">
        <v>162</v>
      </c>
      <c r="H12" s="119" t="s">
        <v>197</v>
      </c>
      <c r="I12" s="47"/>
      <c r="J12" s="47"/>
      <c r="K12" s="47">
        <v>7</v>
      </c>
      <c r="L12" s="78">
        <v>45832</v>
      </c>
      <c r="M12" s="78">
        <v>45838</v>
      </c>
      <c r="N12" s="79"/>
      <c r="O12" s="47"/>
      <c r="P12" s="61"/>
      <c r="Q12" s="79"/>
      <c r="R12" s="47"/>
      <c r="S12" s="61"/>
      <c r="T12" s="79"/>
      <c r="U12" s="47"/>
      <c r="V12" s="61"/>
      <c r="W12" s="47"/>
      <c r="X12" s="47"/>
      <c r="Y12" s="47"/>
      <c r="Z12" s="47"/>
      <c r="AA12" s="47"/>
      <c r="AB12" s="47"/>
    </row>
    <row r="13" spans="1:51" s="124" customFormat="1" ht="13" x14ac:dyDescent="0.15">
      <c r="A13" s="116">
        <v>6</v>
      </c>
      <c r="B13" s="47"/>
      <c r="C13" s="121" t="s">
        <v>244</v>
      </c>
      <c r="D13" s="13">
        <v>45141</v>
      </c>
      <c r="E13" s="121">
        <v>2700</v>
      </c>
      <c r="F13" s="123" t="s">
        <v>237</v>
      </c>
      <c r="G13" s="121" t="s">
        <v>165</v>
      </c>
      <c r="H13" s="119" t="s">
        <v>197</v>
      </c>
      <c r="I13" s="47"/>
      <c r="J13" s="47"/>
      <c r="K13" s="47">
        <v>8</v>
      </c>
      <c r="L13" s="78">
        <v>45839</v>
      </c>
      <c r="M13" s="78">
        <v>45846</v>
      </c>
      <c r="N13" s="79"/>
      <c r="O13" s="47"/>
      <c r="P13" s="61"/>
      <c r="Q13" s="79"/>
      <c r="R13" s="47"/>
      <c r="S13" s="61"/>
      <c r="T13" s="79"/>
      <c r="U13" s="47"/>
      <c r="V13" s="61"/>
      <c r="W13" s="47"/>
      <c r="X13" s="47"/>
      <c r="Y13" s="47"/>
      <c r="Z13" s="47"/>
      <c r="AA13" s="47"/>
      <c r="AB13" s="47"/>
    </row>
    <row r="14" spans="1:51" s="124" customFormat="1" ht="13" x14ac:dyDescent="0.15">
      <c r="A14" s="116">
        <v>7</v>
      </c>
      <c r="B14" s="47"/>
      <c r="C14" s="121" t="s">
        <v>186</v>
      </c>
      <c r="D14" s="13">
        <v>45216</v>
      </c>
      <c r="E14" s="121">
        <v>1500</v>
      </c>
      <c r="F14" s="123" t="s">
        <v>141</v>
      </c>
      <c r="G14" s="125" t="s">
        <v>172</v>
      </c>
      <c r="H14" s="119" t="s">
        <v>197</v>
      </c>
      <c r="I14" s="47"/>
      <c r="J14" s="47"/>
      <c r="K14" s="47">
        <v>15</v>
      </c>
      <c r="L14" s="78">
        <v>45839</v>
      </c>
      <c r="M14" s="78">
        <v>45853</v>
      </c>
      <c r="N14" s="79"/>
      <c r="O14" s="47"/>
      <c r="P14" s="61"/>
      <c r="Q14" s="79"/>
      <c r="R14" s="47"/>
      <c r="S14" s="61"/>
      <c r="T14" s="79"/>
      <c r="U14" s="47"/>
      <c r="V14" s="61"/>
      <c r="W14" s="47"/>
      <c r="X14" s="47"/>
      <c r="Y14" s="47"/>
      <c r="Z14" s="47"/>
      <c r="AA14" s="47"/>
      <c r="AB14" s="47"/>
    </row>
    <row r="15" spans="1:51" s="124" customFormat="1" ht="13" x14ac:dyDescent="0.15">
      <c r="A15" s="116">
        <v>6</v>
      </c>
      <c r="B15" s="47"/>
      <c r="C15" s="121" t="s">
        <v>244</v>
      </c>
      <c r="D15" s="13">
        <v>45141</v>
      </c>
      <c r="E15" s="121">
        <v>2700</v>
      </c>
      <c r="F15" s="123" t="s">
        <v>237</v>
      </c>
      <c r="G15" s="119" t="s">
        <v>165</v>
      </c>
      <c r="H15" s="47" t="s">
        <v>197</v>
      </c>
      <c r="I15" s="47"/>
      <c r="J15" s="47"/>
      <c r="K15" s="47">
        <v>7</v>
      </c>
      <c r="L15" s="78">
        <v>45873</v>
      </c>
      <c r="M15" s="78">
        <v>45879</v>
      </c>
      <c r="N15" s="47"/>
      <c r="O15" s="61"/>
      <c r="P15" s="47"/>
      <c r="Q15" s="47"/>
      <c r="R15" s="61"/>
      <c r="S15" s="47"/>
      <c r="T15" s="47"/>
      <c r="U15" s="61"/>
      <c r="V15" s="47"/>
      <c r="W15" s="47"/>
      <c r="X15" s="47"/>
      <c r="Y15" s="47"/>
      <c r="Z15" s="47"/>
      <c r="AA15" s="47"/>
      <c r="AB15" s="47"/>
    </row>
    <row r="16" spans="1:51" ht="13" x14ac:dyDescent="0.15">
      <c r="A16" s="116">
        <v>8</v>
      </c>
      <c r="B16" s="47"/>
      <c r="C16" s="121" t="s">
        <v>236</v>
      </c>
      <c r="D16" s="117">
        <v>45295</v>
      </c>
      <c r="E16" s="116">
        <v>2500</v>
      </c>
      <c r="F16" s="116" t="s">
        <v>141</v>
      </c>
      <c r="G16" s="119" t="s">
        <v>177</v>
      </c>
      <c r="H16" s="47" t="s">
        <v>197</v>
      </c>
      <c r="I16" s="47"/>
      <c r="J16" s="47"/>
      <c r="K16" s="47">
        <v>7</v>
      </c>
      <c r="L16" s="78">
        <v>45936</v>
      </c>
      <c r="M16" s="78">
        <v>45942</v>
      </c>
      <c r="N16" s="47"/>
      <c r="O16" s="61"/>
      <c r="P16" s="47"/>
      <c r="Q16" s="47"/>
      <c r="R16" s="61"/>
      <c r="S16" s="47"/>
      <c r="T16" s="47"/>
      <c r="U16" s="61"/>
      <c r="V16" s="47"/>
      <c r="W16" s="47"/>
      <c r="X16" s="47"/>
      <c r="Y16" s="47"/>
      <c r="Z16" s="47"/>
      <c r="AA16" s="47"/>
      <c r="AB16" s="47"/>
    </row>
    <row r="17" spans="1:28" ht="13" x14ac:dyDescent="0.15">
      <c r="A17" s="116">
        <v>9</v>
      </c>
      <c r="B17" s="47"/>
      <c r="C17" s="121" t="s">
        <v>236</v>
      </c>
      <c r="D17" s="117">
        <v>45296</v>
      </c>
      <c r="E17" s="116">
        <v>2500</v>
      </c>
      <c r="F17" s="116" t="s">
        <v>141</v>
      </c>
      <c r="G17" s="119" t="s">
        <v>177</v>
      </c>
      <c r="H17" s="47" t="s">
        <v>197</v>
      </c>
      <c r="I17" s="47"/>
      <c r="J17" s="47"/>
      <c r="K17" s="47">
        <v>8</v>
      </c>
      <c r="L17" s="78">
        <v>45964</v>
      </c>
      <c r="M17" s="78">
        <v>45971</v>
      </c>
      <c r="N17" s="47"/>
      <c r="O17" s="61"/>
      <c r="P17" s="47"/>
      <c r="Q17" s="47"/>
      <c r="R17" s="61"/>
      <c r="S17" s="47"/>
      <c r="T17" s="47"/>
      <c r="U17" s="61"/>
      <c r="V17" s="47"/>
      <c r="W17" s="47"/>
      <c r="X17" s="47"/>
      <c r="Y17" s="47"/>
      <c r="Z17" s="47"/>
      <c r="AA17" s="47"/>
      <c r="AB17" s="47"/>
    </row>
    <row r="18" spans="1:28" ht="13" x14ac:dyDescent="0.15">
      <c r="A18" s="116">
        <v>10</v>
      </c>
      <c r="B18" s="47"/>
      <c r="C18" s="121" t="s">
        <v>259</v>
      </c>
      <c r="D18" s="117">
        <v>45572</v>
      </c>
      <c r="E18" s="116">
        <v>2700</v>
      </c>
      <c r="F18" s="123" t="s">
        <v>237</v>
      </c>
      <c r="G18" s="119" t="s">
        <v>192</v>
      </c>
      <c r="H18" s="47" t="s">
        <v>197</v>
      </c>
      <c r="I18" s="47"/>
      <c r="J18" s="47"/>
      <c r="K18" s="47">
        <v>7</v>
      </c>
      <c r="L18" s="78">
        <v>45964</v>
      </c>
      <c r="M18" s="78">
        <v>45970</v>
      </c>
      <c r="N18" s="47"/>
      <c r="O18" s="61"/>
      <c r="P18" s="47"/>
      <c r="Q18" s="47"/>
      <c r="R18" s="61"/>
      <c r="S18" s="47"/>
      <c r="T18" s="47"/>
      <c r="U18" s="61"/>
      <c r="V18" s="47"/>
      <c r="W18" s="47"/>
      <c r="X18" s="47"/>
      <c r="Y18" s="47"/>
      <c r="Z18" s="47"/>
      <c r="AA18" s="47"/>
      <c r="AB18" s="47"/>
    </row>
    <row r="19" spans="1:28" ht="13" x14ac:dyDescent="0.15">
      <c r="A19" s="116">
        <v>11</v>
      </c>
      <c r="B19" s="47"/>
      <c r="C19" s="121" t="s">
        <v>244</v>
      </c>
      <c r="D19" s="117">
        <v>45141</v>
      </c>
      <c r="E19" s="116">
        <v>2700</v>
      </c>
      <c r="F19" s="123" t="s">
        <v>237</v>
      </c>
      <c r="G19" s="119" t="s">
        <v>165</v>
      </c>
      <c r="H19" s="47" t="s">
        <v>197</v>
      </c>
      <c r="I19" s="47"/>
      <c r="J19" s="47"/>
      <c r="K19" s="47">
        <v>8</v>
      </c>
      <c r="L19" s="78">
        <v>46132</v>
      </c>
      <c r="M19" s="78">
        <v>46139</v>
      </c>
      <c r="N19" s="47"/>
      <c r="O19" s="61"/>
      <c r="P19" s="47"/>
      <c r="Q19" s="47"/>
      <c r="R19" s="61"/>
      <c r="S19" s="47"/>
      <c r="T19" s="47"/>
      <c r="U19" s="61"/>
      <c r="V19" s="47"/>
      <c r="W19" s="47"/>
      <c r="X19" s="47"/>
      <c r="Y19" s="47"/>
      <c r="Z19" s="47"/>
      <c r="AA19" s="47"/>
      <c r="AB19" s="47"/>
    </row>
    <row r="20" spans="1:28" ht="13" x14ac:dyDescent="0.15">
      <c r="A20" s="116">
        <v>12</v>
      </c>
      <c r="B20" s="47"/>
      <c r="C20" s="121" t="s">
        <v>293</v>
      </c>
      <c r="D20" s="117">
        <v>45691</v>
      </c>
      <c r="E20" s="116">
        <v>1300</v>
      </c>
      <c r="F20" s="123" t="s">
        <v>141</v>
      </c>
      <c r="G20" s="119" t="s">
        <v>213</v>
      </c>
      <c r="H20" s="47" t="s">
        <v>197</v>
      </c>
      <c r="I20" s="47"/>
      <c r="J20" s="47"/>
      <c r="K20" s="47">
        <v>7</v>
      </c>
      <c r="L20" s="78">
        <v>46146</v>
      </c>
      <c r="M20" s="78">
        <v>46152</v>
      </c>
      <c r="N20" s="47"/>
      <c r="O20" s="61"/>
      <c r="P20" s="47"/>
      <c r="Q20" s="47"/>
      <c r="R20" s="61"/>
      <c r="S20" s="47"/>
      <c r="T20" s="47">
        <v>7</v>
      </c>
      <c r="U20" s="61"/>
      <c r="V20" s="47">
        <v>8</v>
      </c>
      <c r="W20" s="47"/>
      <c r="X20" s="47"/>
      <c r="Y20" s="47"/>
      <c r="Z20" s="47"/>
      <c r="AA20" s="47"/>
      <c r="AB20" s="47"/>
    </row>
    <row r="21" spans="1:28" ht="13" x14ac:dyDescent="0.15">
      <c r="A21" s="116">
        <v>13</v>
      </c>
      <c r="B21" s="47"/>
      <c r="C21" s="121" t="s">
        <v>216</v>
      </c>
      <c r="D21" s="117">
        <v>45108</v>
      </c>
      <c r="E21" s="116">
        <v>1800</v>
      </c>
      <c r="F21" s="123" t="s">
        <v>141</v>
      </c>
      <c r="G21" s="119" t="s">
        <v>160</v>
      </c>
      <c r="H21" s="47" t="s">
        <v>197</v>
      </c>
      <c r="I21" s="47"/>
      <c r="J21" s="47"/>
      <c r="K21" s="47">
        <v>15</v>
      </c>
      <c r="L21" s="78">
        <v>46188</v>
      </c>
      <c r="M21" s="78">
        <v>46202</v>
      </c>
      <c r="N21" s="47"/>
      <c r="O21" s="61"/>
      <c r="P21" s="47"/>
      <c r="Q21" s="47"/>
      <c r="R21" s="61"/>
      <c r="S21" s="47"/>
      <c r="T21" s="47"/>
      <c r="U21" s="61"/>
      <c r="V21" s="47"/>
      <c r="W21" s="47"/>
      <c r="X21" s="47"/>
      <c r="Y21" s="47"/>
      <c r="Z21" s="47"/>
      <c r="AA21" s="47"/>
      <c r="AB21" s="47"/>
    </row>
    <row r="22" spans="1:28" ht="13" x14ac:dyDescent="0.15">
      <c r="A22" s="116">
        <v>14</v>
      </c>
      <c r="B22" s="47"/>
      <c r="C22" s="121" t="s">
        <v>164</v>
      </c>
      <c r="D22" s="117">
        <v>45108</v>
      </c>
      <c r="E22" s="116">
        <v>2500</v>
      </c>
      <c r="F22" s="123" t="s">
        <v>141</v>
      </c>
      <c r="G22" s="119" t="s">
        <v>162</v>
      </c>
      <c r="H22" s="47" t="s">
        <v>197</v>
      </c>
      <c r="I22" s="47"/>
      <c r="J22" s="47"/>
      <c r="K22" s="47">
        <v>15</v>
      </c>
      <c r="L22" s="78">
        <v>46188</v>
      </c>
      <c r="M22" s="78">
        <v>46202</v>
      </c>
      <c r="N22" s="47"/>
      <c r="O22" s="61"/>
      <c r="P22" s="47"/>
      <c r="Q22" s="47"/>
      <c r="R22" s="61"/>
      <c r="S22" s="47"/>
      <c r="T22" s="47"/>
      <c r="U22" s="61"/>
      <c r="V22" s="47"/>
      <c r="W22" s="47"/>
      <c r="X22" s="47"/>
      <c r="Y22" s="47"/>
      <c r="Z22" s="47"/>
      <c r="AA22" s="47"/>
      <c r="AB22" s="47"/>
    </row>
    <row r="23" spans="1:28" ht="13" x14ac:dyDescent="0.15">
      <c r="A23" s="116">
        <v>15</v>
      </c>
      <c r="B23" s="47"/>
      <c r="C23" s="121" t="s">
        <v>188</v>
      </c>
      <c r="D23" s="117">
        <v>45108</v>
      </c>
      <c r="E23" s="116">
        <v>1500</v>
      </c>
      <c r="F23" s="123" t="s">
        <v>141</v>
      </c>
      <c r="G23" s="119" t="s">
        <v>163</v>
      </c>
      <c r="H23" s="47" t="s">
        <v>197</v>
      </c>
      <c r="I23" s="47"/>
      <c r="J23" s="47"/>
      <c r="K23" s="47">
        <v>7</v>
      </c>
      <c r="L23" s="78">
        <v>46188</v>
      </c>
      <c r="M23" s="78">
        <v>46194</v>
      </c>
      <c r="N23" s="47"/>
      <c r="O23" s="61"/>
      <c r="P23" s="47"/>
      <c r="Q23" s="47"/>
      <c r="R23" s="61"/>
      <c r="S23" s="47"/>
      <c r="T23" s="47"/>
      <c r="U23" s="61"/>
      <c r="V23" s="47"/>
      <c r="W23" s="47"/>
      <c r="X23" s="47"/>
      <c r="Y23" s="47"/>
      <c r="Z23" s="47"/>
      <c r="AA23" s="47"/>
      <c r="AB23" s="47"/>
    </row>
    <row r="24" spans="1:28" ht="13" x14ac:dyDescent="0.15">
      <c r="A24" s="116">
        <v>16</v>
      </c>
      <c r="B24" s="47"/>
      <c r="C24" s="121" t="s">
        <v>293</v>
      </c>
      <c r="D24" s="117">
        <v>45726</v>
      </c>
      <c r="E24" s="116">
        <v>1500</v>
      </c>
      <c r="F24" s="123" t="s">
        <v>141</v>
      </c>
      <c r="G24" s="119" t="s">
        <v>215</v>
      </c>
      <c r="H24" s="47" t="s">
        <v>197</v>
      </c>
      <c r="I24" s="47"/>
      <c r="J24" s="47"/>
      <c r="K24" s="47">
        <v>7</v>
      </c>
      <c r="L24" s="78">
        <v>46188</v>
      </c>
      <c r="M24" s="78">
        <v>46194</v>
      </c>
      <c r="N24" s="47"/>
      <c r="O24" s="61"/>
      <c r="P24" s="47"/>
      <c r="Q24" s="47"/>
      <c r="R24" s="61"/>
      <c r="S24" s="47"/>
      <c r="T24" s="47"/>
      <c r="U24" s="61"/>
      <c r="V24" s="47"/>
      <c r="W24" s="47"/>
      <c r="X24" s="47"/>
      <c r="Y24" s="47"/>
      <c r="Z24" s="47"/>
      <c r="AA24" s="47"/>
      <c r="AB24" s="47"/>
    </row>
    <row r="25" spans="1:28" ht="14" x14ac:dyDescent="0.2">
      <c r="A25" s="48">
        <v>17</v>
      </c>
      <c r="C25" s="121" t="s">
        <v>188</v>
      </c>
      <c r="D25" s="108">
        <v>45513</v>
      </c>
      <c r="E25" s="116">
        <v>1700</v>
      </c>
      <c r="F25" s="123" t="s">
        <v>141</v>
      </c>
      <c r="G25" s="119" t="s">
        <v>187</v>
      </c>
      <c r="H25" s="47" t="s">
        <v>197</v>
      </c>
      <c r="I25" s="47"/>
      <c r="J25" s="47"/>
      <c r="K25" s="47">
        <v>15</v>
      </c>
      <c r="L25" s="78">
        <v>46204</v>
      </c>
      <c r="M25" s="78">
        <v>46218</v>
      </c>
    </row>
    <row r="26" spans="1:28" ht="12" customHeight="1" x14ac:dyDescent="0.15">
      <c r="C26" s="223" t="s">
        <v>288</v>
      </c>
      <c r="D26" s="223"/>
      <c r="E26" s="223"/>
      <c r="F26" s="223"/>
      <c r="G26" s="223"/>
    </row>
    <row r="27" spans="1:28" x14ac:dyDescent="0.15">
      <c r="C27" s="223"/>
      <c r="D27" s="223"/>
      <c r="E27" s="223"/>
      <c r="F27" s="223"/>
      <c r="G27" s="223"/>
    </row>
    <row r="28" spans="1:28" x14ac:dyDescent="0.15">
      <c r="C28" s="223"/>
      <c r="D28" s="223"/>
      <c r="E28" s="223"/>
      <c r="F28" s="223"/>
      <c r="G28" s="223"/>
    </row>
    <row r="29" spans="1:28" x14ac:dyDescent="0.15">
      <c r="C29" s="223"/>
      <c r="D29" s="223"/>
      <c r="E29" s="223"/>
      <c r="F29" s="223"/>
      <c r="G29" s="223"/>
    </row>
    <row r="30" spans="1:28" x14ac:dyDescent="0.15">
      <c r="C30" s="223"/>
      <c r="D30" s="223"/>
      <c r="E30" s="223"/>
      <c r="F30" s="223"/>
      <c r="G30" s="223"/>
    </row>
    <row r="31" spans="1:28" x14ac:dyDescent="0.15">
      <c r="C31" s="223"/>
      <c r="D31" s="223"/>
      <c r="E31" s="223"/>
      <c r="F31" s="223"/>
      <c r="G31" s="223"/>
    </row>
    <row r="32" spans="1:28" x14ac:dyDescent="0.15">
      <c r="C32" s="223"/>
      <c r="D32" s="223"/>
      <c r="E32" s="223"/>
      <c r="F32" s="223"/>
      <c r="G32" s="223"/>
    </row>
    <row r="33" spans="3:7" x14ac:dyDescent="0.15">
      <c r="C33" s="223"/>
      <c r="D33" s="223"/>
      <c r="E33" s="223"/>
      <c r="F33" s="223"/>
      <c r="G33" s="223"/>
    </row>
  </sheetData>
  <mergeCells count="6">
    <mergeCell ref="I1:M1"/>
    <mergeCell ref="N1:P1"/>
    <mergeCell ref="W1:AB1"/>
    <mergeCell ref="C26:G33"/>
    <mergeCell ref="Q1:S1"/>
    <mergeCell ref="T1:V1"/>
  </mergeCells>
  <phoneticPr fontId="10" type="noConversion"/>
  <conditionalFormatting sqref="E10:E15">
    <cfRule type="duplicateValues" dxfId="11" priority="398"/>
  </conditionalFormatting>
  <conditionalFormatting sqref="F16:G17 G18">
    <cfRule type="duplicateValues" dxfId="10" priority="11"/>
  </conditionalFormatting>
  <conditionalFormatting sqref="G5">
    <cfRule type="duplicateValues" dxfId="9" priority="405"/>
  </conditionalFormatting>
  <conditionalFormatting sqref="G6">
    <cfRule type="duplicateValues" dxfId="8" priority="22"/>
  </conditionalFormatting>
  <conditionalFormatting sqref="G7">
    <cfRule type="duplicateValues" dxfId="7" priority="18"/>
  </conditionalFormatting>
  <conditionalFormatting sqref="G8">
    <cfRule type="duplicateValues" dxfId="6" priority="26"/>
    <cfRule type="duplicateValues" dxfId="5" priority="27"/>
    <cfRule type="duplicateValues" dxfId="4" priority="28"/>
  </conditionalFormatting>
  <conditionalFormatting sqref="G10:G15">
    <cfRule type="duplicateValues" dxfId="3" priority="399"/>
  </conditionalFormatting>
  <conditionalFormatting sqref="G15">
    <cfRule type="duplicateValues" dxfId="2" priority="10"/>
  </conditionalFormatting>
  <conditionalFormatting sqref="G19:G25">
    <cfRule type="duplicateValues" dxfId="1" priority="8"/>
  </conditionalFormatting>
  <conditionalFormatting sqref="G3:H3 G4 H4:H25">
    <cfRule type="duplicateValues" dxfId="0" priority="2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zoomScaleNormal="100" workbookViewId="0">
      <selection activeCell="A19" sqref="A19"/>
    </sheetView>
  </sheetViews>
  <sheetFormatPr baseColWidth="10" defaultColWidth="11.5" defaultRowHeight="15" x14ac:dyDescent="0.2"/>
  <cols>
    <col min="1" max="2" width="8.83203125" customWidth="1"/>
    <col min="3" max="3" width="32" customWidth="1"/>
    <col min="8" max="8" width="58.83203125" customWidth="1"/>
  </cols>
  <sheetData>
    <row r="1" spans="1:8" ht="30" x14ac:dyDescent="0.2">
      <c r="A1" s="1" t="s">
        <v>122</v>
      </c>
      <c r="B1" s="1" t="s">
        <v>35</v>
      </c>
      <c r="C1" s="1" t="s">
        <v>24</v>
      </c>
      <c r="D1" s="1" t="s">
        <v>104</v>
      </c>
      <c r="E1" s="1" t="s">
        <v>110</v>
      </c>
      <c r="F1" s="1" t="s">
        <v>111</v>
      </c>
      <c r="G1" s="1" t="s">
        <v>112</v>
      </c>
      <c r="H1" s="1" t="s">
        <v>123</v>
      </c>
    </row>
    <row r="2" spans="1:8" ht="45" customHeight="1" x14ac:dyDescent="0.2">
      <c r="A2" s="51" t="s">
        <v>118</v>
      </c>
      <c r="B2" s="52" t="s">
        <v>42</v>
      </c>
      <c r="C2" s="52" t="s">
        <v>113</v>
      </c>
      <c r="D2" s="15">
        <v>1000</v>
      </c>
      <c r="E2" s="15"/>
      <c r="F2" s="15"/>
      <c r="G2" s="15">
        <v>1000</v>
      </c>
      <c r="H2" s="7"/>
    </row>
    <row r="3" spans="1:8" ht="45" customHeight="1" x14ac:dyDescent="0.2">
      <c r="A3" s="51" t="s">
        <v>118</v>
      </c>
      <c r="B3" s="52" t="s">
        <v>42</v>
      </c>
      <c r="C3" s="52" t="s">
        <v>23</v>
      </c>
      <c r="D3" s="15">
        <v>4000</v>
      </c>
      <c r="E3" s="15">
        <v>40</v>
      </c>
      <c r="F3" s="15"/>
      <c r="G3" s="15">
        <v>4040</v>
      </c>
      <c r="H3" s="7"/>
    </row>
    <row r="4" spans="1:8" ht="45" customHeight="1" x14ac:dyDescent="0.2">
      <c r="A4" s="51" t="s">
        <v>118</v>
      </c>
      <c r="B4" s="52" t="s">
        <v>42</v>
      </c>
      <c r="C4" s="52" t="s">
        <v>114</v>
      </c>
      <c r="D4" s="15">
        <v>750</v>
      </c>
      <c r="E4" s="15"/>
      <c r="F4" s="15"/>
      <c r="G4" s="15">
        <v>750</v>
      </c>
      <c r="H4" s="7"/>
    </row>
    <row r="5" spans="1:8" ht="45" customHeight="1" x14ac:dyDescent="0.2">
      <c r="A5" s="51" t="s">
        <v>118</v>
      </c>
      <c r="B5" s="52" t="s">
        <v>42</v>
      </c>
      <c r="C5" s="52" t="s">
        <v>33</v>
      </c>
      <c r="D5" s="15">
        <v>500</v>
      </c>
      <c r="E5" s="15"/>
      <c r="F5" s="15"/>
      <c r="G5" s="15">
        <v>500</v>
      </c>
      <c r="H5" s="7"/>
    </row>
    <row r="6" spans="1:8" ht="45" customHeight="1" x14ac:dyDescent="0.2">
      <c r="A6" s="51" t="s">
        <v>118</v>
      </c>
      <c r="B6" s="52" t="s">
        <v>42</v>
      </c>
      <c r="C6" s="52" t="s">
        <v>34</v>
      </c>
      <c r="D6" s="15">
        <v>1000</v>
      </c>
      <c r="E6" s="15"/>
      <c r="F6" s="15"/>
      <c r="G6" s="15">
        <v>1000</v>
      </c>
      <c r="H6" s="7"/>
    </row>
    <row r="7" spans="1:8" ht="45" customHeight="1" x14ac:dyDescent="0.2">
      <c r="A7" s="51" t="s">
        <v>118</v>
      </c>
      <c r="B7" s="52" t="s">
        <v>42</v>
      </c>
      <c r="C7" s="52" t="s">
        <v>36</v>
      </c>
      <c r="D7" s="15">
        <v>500</v>
      </c>
      <c r="E7" s="15"/>
      <c r="F7" s="15"/>
      <c r="G7" s="15">
        <v>500</v>
      </c>
      <c r="H7" s="7"/>
    </row>
    <row r="8" spans="1:8" ht="45" customHeight="1" x14ac:dyDescent="0.2">
      <c r="A8" s="53" t="s">
        <v>119</v>
      </c>
      <c r="B8" s="54" t="s">
        <v>42</v>
      </c>
      <c r="C8" s="54" t="s">
        <v>40</v>
      </c>
      <c r="D8" s="15">
        <v>500</v>
      </c>
      <c r="E8" s="15"/>
      <c r="F8" s="15"/>
      <c r="G8" s="15">
        <v>500</v>
      </c>
      <c r="H8" s="7"/>
    </row>
    <row r="9" spans="1:8" ht="45" customHeight="1" x14ac:dyDescent="0.2">
      <c r="A9" s="53" t="s">
        <v>119</v>
      </c>
      <c r="B9" s="54" t="s">
        <v>42</v>
      </c>
      <c r="C9" s="54" t="s">
        <v>41</v>
      </c>
      <c r="D9" s="15">
        <v>1500</v>
      </c>
      <c r="E9" s="15">
        <v>40</v>
      </c>
      <c r="F9" s="15"/>
      <c r="G9" s="15">
        <v>1540</v>
      </c>
      <c r="H9" s="7"/>
    </row>
    <row r="10" spans="1:8" ht="45" customHeight="1" x14ac:dyDescent="0.2">
      <c r="A10" s="53" t="s">
        <v>119</v>
      </c>
      <c r="B10" s="54" t="s">
        <v>42</v>
      </c>
      <c r="C10" s="54" t="s">
        <v>43</v>
      </c>
      <c r="D10" s="15">
        <v>400</v>
      </c>
      <c r="E10" s="15"/>
      <c r="F10" s="15"/>
      <c r="G10" s="15">
        <v>400</v>
      </c>
      <c r="H10" s="7"/>
    </row>
    <row r="11" spans="1:8" ht="45" customHeight="1" x14ac:dyDescent="0.2">
      <c r="A11" s="53" t="s">
        <v>119</v>
      </c>
      <c r="B11" s="54" t="s">
        <v>42</v>
      </c>
      <c r="C11" s="54" t="s">
        <v>44</v>
      </c>
      <c r="D11" s="15">
        <v>250</v>
      </c>
      <c r="E11" s="15"/>
      <c r="F11" s="15"/>
      <c r="G11" s="15">
        <v>250</v>
      </c>
      <c r="H11" s="7"/>
    </row>
    <row r="12" spans="1:8" ht="45" customHeight="1" x14ac:dyDescent="0.2">
      <c r="A12" s="53" t="s">
        <v>119</v>
      </c>
      <c r="B12" s="54" t="s">
        <v>42</v>
      </c>
      <c r="C12" s="54" t="s">
        <v>45</v>
      </c>
      <c r="D12" s="15">
        <v>250</v>
      </c>
      <c r="E12" s="15"/>
      <c r="F12" s="15"/>
      <c r="G12" s="15">
        <v>250</v>
      </c>
      <c r="H12" s="7"/>
    </row>
    <row r="13" spans="1:8" ht="45" customHeight="1" x14ac:dyDescent="0.2">
      <c r="A13" s="53" t="s">
        <v>119</v>
      </c>
      <c r="B13" s="54" t="s">
        <v>42</v>
      </c>
      <c r="C13" s="54" t="s">
        <v>64</v>
      </c>
      <c r="D13" s="15">
        <v>2200</v>
      </c>
      <c r="E13" s="15">
        <v>40</v>
      </c>
      <c r="F13" s="15"/>
      <c r="G13" s="15">
        <v>2240</v>
      </c>
      <c r="H13" s="7"/>
    </row>
    <row r="14" spans="1:8" ht="45" customHeight="1" x14ac:dyDescent="0.2">
      <c r="A14" s="55" t="s">
        <v>120</v>
      </c>
      <c r="B14" s="56" t="s">
        <v>42</v>
      </c>
      <c r="C14" s="56" t="s">
        <v>100</v>
      </c>
      <c r="D14" s="15"/>
      <c r="E14" s="15">
        <v>40</v>
      </c>
      <c r="F14" s="15"/>
      <c r="G14" s="15">
        <v>40</v>
      </c>
      <c r="H14" s="7"/>
    </row>
    <row r="15" spans="1:8" ht="45" customHeight="1" x14ac:dyDescent="0.2">
      <c r="A15" s="55" t="s">
        <v>120</v>
      </c>
      <c r="B15" s="56" t="s">
        <v>42</v>
      </c>
      <c r="C15" s="56" t="s">
        <v>52</v>
      </c>
      <c r="D15" s="15"/>
      <c r="E15" s="15">
        <v>40</v>
      </c>
      <c r="F15" s="15"/>
      <c r="G15" s="15">
        <v>40</v>
      </c>
      <c r="H15" s="7"/>
    </row>
    <row r="16" spans="1:8" ht="45" customHeight="1" x14ac:dyDescent="0.2">
      <c r="A16" s="55" t="s">
        <v>120</v>
      </c>
      <c r="B16" s="56" t="s">
        <v>42</v>
      </c>
      <c r="C16" s="56" t="s">
        <v>46</v>
      </c>
      <c r="D16" s="15"/>
      <c r="E16" s="15">
        <v>40</v>
      </c>
      <c r="F16" s="15"/>
      <c r="G16" s="15">
        <v>40</v>
      </c>
      <c r="H16" s="7"/>
    </row>
    <row r="17" spans="1:8" ht="45" customHeight="1" x14ac:dyDescent="0.2">
      <c r="A17" s="55" t="s">
        <v>120</v>
      </c>
      <c r="B17" s="56" t="s">
        <v>42</v>
      </c>
      <c r="C17" s="56" t="s">
        <v>60</v>
      </c>
      <c r="D17" s="15"/>
      <c r="E17" s="15">
        <v>40</v>
      </c>
      <c r="F17" s="15"/>
      <c r="G17" s="15">
        <v>40</v>
      </c>
      <c r="H17" s="7"/>
    </row>
    <row r="18" spans="1:8" ht="45" customHeight="1" x14ac:dyDescent="0.2">
      <c r="A18" s="55" t="s">
        <v>120</v>
      </c>
      <c r="B18" s="56" t="s">
        <v>42</v>
      </c>
      <c r="C18" s="56" t="s">
        <v>48</v>
      </c>
      <c r="D18" s="15">
        <v>1701</v>
      </c>
      <c r="E18" s="15"/>
      <c r="F18" s="15"/>
      <c r="G18" s="15">
        <v>1701</v>
      </c>
      <c r="H18" s="7"/>
    </row>
    <row r="20" spans="1:8" ht="45" customHeight="1" x14ac:dyDescent="0.2">
      <c r="A20" s="1" t="s">
        <v>122</v>
      </c>
      <c r="B20" s="1" t="s">
        <v>35</v>
      </c>
      <c r="C20" s="1" t="s">
        <v>24</v>
      </c>
      <c r="D20" s="1" t="s">
        <v>104</v>
      </c>
      <c r="E20" s="1" t="s">
        <v>110</v>
      </c>
      <c r="F20" s="1" t="s">
        <v>111</v>
      </c>
      <c r="G20" s="1" t="s">
        <v>112</v>
      </c>
      <c r="H20" s="1" t="s">
        <v>123</v>
      </c>
    </row>
    <row r="21" spans="1:8" ht="45" customHeight="1" x14ac:dyDescent="0.2">
      <c r="A21" s="55" t="s">
        <v>120</v>
      </c>
      <c r="B21" s="56" t="s">
        <v>42</v>
      </c>
      <c r="C21" s="56" t="s">
        <v>62</v>
      </c>
      <c r="D21" s="15">
        <v>400</v>
      </c>
      <c r="E21" s="15"/>
      <c r="F21" s="15"/>
      <c r="G21" s="15">
        <v>400</v>
      </c>
      <c r="H21" s="7"/>
    </row>
    <row r="22" spans="1:8" ht="45" customHeight="1" x14ac:dyDescent="0.2">
      <c r="A22" s="57" t="s">
        <v>121</v>
      </c>
      <c r="B22" s="58" t="s">
        <v>42</v>
      </c>
      <c r="C22" s="58" t="s">
        <v>101</v>
      </c>
      <c r="D22" s="15"/>
      <c r="E22" s="15">
        <v>40</v>
      </c>
      <c r="F22" s="15"/>
      <c r="G22" s="15">
        <v>40</v>
      </c>
      <c r="H22" s="7"/>
    </row>
    <row r="23" spans="1:8" ht="45" customHeight="1" x14ac:dyDescent="0.2">
      <c r="A23" s="57" t="s">
        <v>121</v>
      </c>
      <c r="B23" s="58" t="s">
        <v>42</v>
      </c>
      <c r="C23" s="58" t="s">
        <v>115</v>
      </c>
      <c r="D23" s="15"/>
      <c r="E23" s="15">
        <v>33</v>
      </c>
      <c r="F23" s="15"/>
      <c r="G23" s="15">
        <v>33</v>
      </c>
      <c r="H23" s="7"/>
    </row>
    <row r="24" spans="1:8" ht="45" customHeight="1" x14ac:dyDescent="0.2">
      <c r="A24" s="57" t="s">
        <v>121</v>
      </c>
      <c r="B24" s="58" t="s">
        <v>42</v>
      </c>
      <c r="C24" s="58" t="s">
        <v>107</v>
      </c>
      <c r="D24" s="15"/>
      <c r="E24" s="15">
        <v>33</v>
      </c>
      <c r="F24" s="15"/>
      <c r="G24" s="15">
        <v>33</v>
      </c>
      <c r="H24" s="7"/>
    </row>
    <row r="25" spans="1:8" ht="45" customHeight="1" x14ac:dyDescent="0.2">
      <c r="A25" s="57" t="s">
        <v>121</v>
      </c>
      <c r="B25" s="58" t="s">
        <v>42</v>
      </c>
      <c r="C25" s="58" t="s">
        <v>108</v>
      </c>
      <c r="D25" s="15"/>
      <c r="E25" s="15">
        <v>33</v>
      </c>
      <c r="F25" s="15"/>
      <c r="G25" s="15">
        <v>33</v>
      </c>
      <c r="H25" s="7"/>
    </row>
    <row r="26" spans="1:8" ht="45" customHeight="1" x14ac:dyDescent="0.2">
      <c r="A26" s="57" t="s">
        <v>121</v>
      </c>
      <c r="B26" s="58" t="s">
        <v>42</v>
      </c>
      <c r="C26" s="58" t="s">
        <v>109</v>
      </c>
      <c r="D26" s="15"/>
      <c r="E26" s="15">
        <v>23</v>
      </c>
      <c r="F26" s="15"/>
      <c r="G26" s="15">
        <v>23</v>
      </c>
      <c r="H26" s="7"/>
    </row>
    <row r="27" spans="1:8" ht="45" customHeight="1" x14ac:dyDescent="0.2">
      <c r="A27" s="57" t="s">
        <v>121</v>
      </c>
      <c r="B27" s="58" t="s">
        <v>42</v>
      </c>
      <c r="C27" s="58" t="s">
        <v>116</v>
      </c>
      <c r="D27" s="15"/>
      <c r="E27" s="15">
        <v>20</v>
      </c>
      <c r="F27" s="15">
        <v>500</v>
      </c>
      <c r="G27" s="15">
        <v>520</v>
      </c>
      <c r="H27" s="7"/>
    </row>
    <row r="28" spans="1:8" ht="45" customHeight="1" x14ac:dyDescent="0.2">
      <c r="B28" s="7" t="s">
        <v>42</v>
      </c>
      <c r="C28" s="7" t="s">
        <v>10</v>
      </c>
      <c r="D28" s="15"/>
      <c r="E28" s="15">
        <v>40</v>
      </c>
      <c r="F28" s="15"/>
      <c r="G28" s="15">
        <f>D28+E28+F28</f>
        <v>40</v>
      </c>
      <c r="H28" s="7"/>
    </row>
    <row r="29" spans="1:8" ht="30" customHeight="1" x14ac:dyDescent="0.2">
      <c r="D29" s="50">
        <f>SUM(D2:D28)</f>
        <v>14951</v>
      </c>
      <c r="E29" s="50">
        <f t="shared" ref="E29:G29" si="0">SUM(E2:E28)</f>
        <v>502</v>
      </c>
      <c r="F29" s="50">
        <f t="shared" si="0"/>
        <v>500</v>
      </c>
      <c r="G29" s="50">
        <f t="shared" si="0"/>
        <v>15953</v>
      </c>
    </row>
  </sheetData>
  <pageMargins left="0.70866141732283472" right="0.70866141732283472" top="0.74803149606299213" bottom="0.74803149606299213" header="0.31496062992125984" footer="0.31496062992125984"/>
  <pageSetup paperSize="9" scale="60" orientation="landscape" horizontalDpi="4294967294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B1:C3"/>
  <sheetViews>
    <sheetView showGridLines="0" workbookViewId="0">
      <selection activeCell="G23" sqref="G23"/>
    </sheetView>
  </sheetViews>
  <sheetFormatPr baseColWidth="10" defaultColWidth="11.5" defaultRowHeight="15" x14ac:dyDescent="0.2"/>
  <cols>
    <col min="2" max="2" width="30.6640625" customWidth="1"/>
    <col min="3" max="3" width="18.1640625" customWidth="1"/>
  </cols>
  <sheetData>
    <row r="1" spans="2:3" x14ac:dyDescent="0.2">
      <c r="B1" s="70" t="s">
        <v>154</v>
      </c>
      <c r="C1" s="71" t="s">
        <v>155</v>
      </c>
    </row>
    <row r="2" spans="2:3" x14ac:dyDescent="0.2">
      <c r="B2" s="74" t="s">
        <v>157</v>
      </c>
      <c r="C2" s="75"/>
    </row>
    <row r="3" spans="2:3" x14ac:dyDescent="0.2">
      <c r="B3" s="76" t="s">
        <v>156</v>
      </c>
      <c r="C3" s="77">
        <f>SUM(C2:C2)</f>
        <v>0</v>
      </c>
    </row>
  </sheetData>
  <phoneticPr fontId="10" type="noConversion"/>
  <pageMargins left="0.7" right="0.7" top="0.75" bottom="0.75" header="0.3" footer="0.3"/>
  <pageSetup paperSize="9" orientation="portrait" horizontalDpi="4294967293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8"/>
  <sheetViews>
    <sheetView workbookViewId="0">
      <selection activeCell="F19" sqref="F19"/>
    </sheetView>
  </sheetViews>
  <sheetFormatPr baseColWidth="10" defaultColWidth="11.5" defaultRowHeight="15" x14ac:dyDescent="0.2"/>
  <cols>
    <col min="1" max="1" width="4.5" customWidth="1"/>
    <col min="2" max="2" width="11.5" style="9"/>
    <col min="3" max="3" width="38.83203125" style="9" hidden="1" customWidth="1"/>
    <col min="4" max="4" width="11.5" style="10"/>
    <col min="6" max="6" width="32.5" customWidth="1"/>
    <col min="7" max="7" width="8.6640625" style="6" customWidth="1"/>
    <col min="8" max="10" width="11.5" customWidth="1"/>
    <col min="11" max="11" width="14" customWidth="1"/>
    <col min="12" max="12" width="8.5" style="19" customWidth="1"/>
    <col min="13" max="13" width="11.5" style="14" customWidth="1"/>
    <col min="14" max="14" width="10.83203125" hidden="1" customWidth="1"/>
  </cols>
  <sheetData>
    <row r="2" spans="1:17" ht="42" x14ac:dyDescent="0.2">
      <c r="A2" s="2" t="s">
        <v>1</v>
      </c>
      <c r="B2" s="31" t="s">
        <v>39</v>
      </c>
      <c r="C2" s="31" t="s">
        <v>83</v>
      </c>
      <c r="D2" s="32" t="s">
        <v>3</v>
      </c>
      <c r="E2" s="33" t="s">
        <v>25</v>
      </c>
      <c r="F2" s="34" t="s">
        <v>4</v>
      </c>
      <c r="G2" s="34" t="s">
        <v>55</v>
      </c>
      <c r="H2" s="34" t="s">
        <v>53</v>
      </c>
      <c r="I2" s="34" t="s">
        <v>54</v>
      </c>
      <c r="J2" s="34" t="s">
        <v>26</v>
      </c>
      <c r="K2" s="34" t="s">
        <v>98</v>
      </c>
      <c r="L2" s="35" t="s">
        <v>81</v>
      </c>
      <c r="M2" s="34" t="s">
        <v>82</v>
      </c>
      <c r="N2" s="34"/>
      <c r="O2" s="34" t="s">
        <v>56</v>
      </c>
      <c r="P2" s="34" t="s">
        <v>57</v>
      </c>
      <c r="Q2" s="3" t="s">
        <v>58</v>
      </c>
    </row>
    <row r="3" spans="1:17" x14ac:dyDescent="0.2">
      <c r="A3" s="7">
        <v>1</v>
      </c>
      <c r="B3" s="8" t="s">
        <v>74</v>
      </c>
      <c r="C3" s="18" t="s">
        <v>97</v>
      </c>
      <c r="D3" s="13">
        <v>43854</v>
      </c>
      <c r="E3" s="11">
        <v>2500</v>
      </c>
      <c r="F3" s="7" t="s">
        <v>38</v>
      </c>
      <c r="G3" s="12">
        <v>28</v>
      </c>
      <c r="H3" s="15">
        <f t="shared" ref="H3:H17" si="0">E3/28*G3</f>
        <v>2500</v>
      </c>
      <c r="I3" s="15"/>
      <c r="J3" s="15"/>
      <c r="K3" s="15"/>
      <c r="L3" s="17"/>
      <c r="M3" s="16">
        <f>L3*N3</f>
        <v>0</v>
      </c>
      <c r="N3" s="15">
        <f>E3/G3</f>
        <v>89.285714285714292</v>
      </c>
      <c r="O3" s="15"/>
      <c r="P3" s="15">
        <f>H3+I3+J3+K3-M3</f>
        <v>2500</v>
      </c>
      <c r="Q3" s="15">
        <f>H3+I3+J3+K3-M3-O3</f>
        <v>2500</v>
      </c>
    </row>
    <row r="4" spans="1:17" x14ac:dyDescent="0.2">
      <c r="A4" s="7">
        <v>2</v>
      </c>
      <c r="B4" s="8" t="s">
        <v>66</v>
      </c>
      <c r="C4" s="18" t="s">
        <v>84</v>
      </c>
      <c r="D4" s="13">
        <v>44076</v>
      </c>
      <c r="E4" s="11">
        <v>1000</v>
      </c>
      <c r="F4" s="7" t="s">
        <v>50</v>
      </c>
      <c r="G4" s="12">
        <v>28</v>
      </c>
      <c r="H4" s="15">
        <f t="shared" si="0"/>
        <v>1000</v>
      </c>
      <c r="I4" s="15"/>
      <c r="J4" s="15"/>
      <c r="K4" s="15"/>
      <c r="L4" s="17"/>
      <c r="M4" s="16">
        <f t="shared" ref="M4:M17" si="1">L4*N4</f>
        <v>0</v>
      </c>
      <c r="N4" s="15">
        <f t="shared" ref="N4:N17" si="2">E4/G4</f>
        <v>35.714285714285715</v>
      </c>
      <c r="O4" s="15"/>
      <c r="P4" s="15">
        <f t="shared" ref="P4:P17" si="3">H4+I4+J4+K4-M4</f>
        <v>1000</v>
      </c>
      <c r="Q4" s="15">
        <f t="shared" ref="Q4:Q17" si="4">H4+I4+J4+K4-M4-O4</f>
        <v>1000</v>
      </c>
    </row>
    <row r="5" spans="1:17" s="44" customFormat="1" x14ac:dyDescent="0.2">
      <c r="A5" s="36">
        <v>3</v>
      </c>
      <c r="B5" s="37" t="s">
        <v>73</v>
      </c>
      <c r="C5" s="37" t="s">
        <v>85</v>
      </c>
      <c r="D5" s="38">
        <v>44076</v>
      </c>
      <c r="E5" s="39">
        <v>465</v>
      </c>
      <c r="F5" s="36" t="s">
        <v>47</v>
      </c>
      <c r="G5" s="40">
        <v>28</v>
      </c>
      <c r="H5" s="41">
        <f t="shared" si="0"/>
        <v>465</v>
      </c>
      <c r="I5" s="41"/>
      <c r="J5" s="41"/>
      <c r="K5" s="41"/>
      <c r="L5" s="42"/>
      <c r="M5" s="43">
        <f t="shared" si="1"/>
        <v>0</v>
      </c>
      <c r="N5" s="41">
        <f t="shared" si="2"/>
        <v>16.607142857142858</v>
      </c>
      <c r="O5" s="41"/>
      <c r="P5" s="41">
        <f t="shared" si="3"/>
        <v>465</v>
      </c>
      <c r="Q5" s="41">
        <f t="shared" si="4"/>
        <v>465</v>
      </c>
    </row>
    <row r="6" spans="1:17" x14ac:dyDescent="0.2">
      <c r="A6" s="7">
        <v>4</v>
      </c>
      <c r="B6" s="8" t="s">
        <v>67</v>
      </c>
      <c r="C6" s="18" t="s">
        <v>86</v>
      </c>
      <c r="D6" s="13">
        <v>44098</v>
      </c>
      <c r="E6" s="11">
        <v>1000</v>
      </c>
      <c r="F6" s="7" t="s">
        <v>48</v>
      </c>
      <c r="G6" s="12">
        <v>28</v>
      </c>
      <c r="H6" s="15">
        <f t="shared" si="0"/>
        <v>1000</v>
      </c>
      <c r="I6" s="15"/>
      <c r="J6" s="15"/>
      <c r="K6" s="15"/>
      <c r="L6" s="17"/>
      <c r="M6" s="16">
        <f t="shared" si="1"/>
        <v>0</v>
      </c>
      <c r="N6" s="15">
        <f t="shared" si="2"/>
        <v>35.714285714285715</v>
      </c>
      <c r="O6" s="15"/>
      <c r="P6" s="15">
        <f t="shared" si="3"/>
        <v>1000</v>
      </c>
      <c r="Q6" s="15">
        <f t="shared" si="4"/>
        <v>1000</v>
      </c>
    </row>
    <row r="7" spans="1:17" x14ac:dyDescent="0.2">
      <c r="A7" s="7">
        <v>5</v>
      </c>
      <c r="B7" s="8" t="s">
        <v>68</v>
      </c>
      <c r="C7" s="18" t="s">
        <v>87</v>
      </c>
      <c r="D7" s="13">
        <v>44116</v>
      </c>
      <c r="E7" s="11">
        <v>930</v>
      </c>
      <c r="F7" s="7" t="s">
        <v>59</v>
      </c>
      <c r="G7" s="12">
        <v>28</v>
      </c>
      <c r="H7" s="15">
        <f t="shared" si="0"/>
        <v>930</v>
      </c>
      <c r="I7" s="15"/>
      <c r="J7" s="15"/>
      <c r="K7" s="15"/>
      <c r="L7" s="17"/>
      <c r="M7" s="16">
        <f t="shared" si="1"/>
        <v>0</v>
      </c>
      <c r="N7" s="15">
        <f t="shared" si="2"/>
        <v>33.214285714285715</v>
      </c>
      <c r="O7" s="15"/>
      <c r="P7" s="15">
        <f t="shared" si="3"/>
        <v>930</v>
      </c>
      <c r="Q7" s="15">
        <f t="shared" si="4"/>
        <v>930</v>
      </c>
    </row>
    <row r="8" spans="1:17" s="5" customFormat="1" x14ac:dyDescent="0.2">
      <c r="A8" s="20">
        <v>6</v>
      </c>
      <c r="B8" s="21" t="s">
        <v>72</v>
      </c>
      <c r="C8" s="18" t="s">
        <v>88</v>
      </c>
      <c r="D8" s="13">
        <v>44138</v>
      </c>
      <c r="E8" s="22">
        <v>1000</v>
      </c>
      <c r="F8" s="20" t="s">
        <v>60</v>
      </c>
      <c r="G8" s="23">
        <v>28</v>
      </c>
      <c r="H8" s="24">
        <f t="shared" si="0"/>
        <v>1000</v>
      </c>
      <c r="I8" s="24"/>
      <c r="J8" s="24"/>
      <c r="K8" s="24">
        <v>40</v>
      </c>
      <c r="L8" s="25"/>
      <c r="M8" s="26">
        <f t="shared" si="1"/>
        <v>0</v>
      </c>
      <c r="N8" s="24">
        <f t="shared" si="2"/>
        <v>35.714285714285715</v>
      </c>
      <c r="O8" s="24"/>
      <c r="P8" s="15">
        <f t="shared" si="3"/>
        <v>1040</v>
      </c>
      <c r="Q8" s="24">
        <f t="shared" si="4"/>
        <v>1040</v>
      </c>
    </row>
    <row r="9" spans="1:17" x14ac:dyDescent="0.2">
      <c r="A9" s="7">
        <v>7</v>
      </c>
      <c r="B9" s="8" t="s">
        <v>71</v>
      </c>
      <c r="C9" s="18" t="s">
        <v>89</v>
      </c>
      <c r="D9" s="13">
        <v>44154</v>
      </c>
      <c r="E9" s="11">
        <v>930</v>
      </c>
      <c r="F9" s="7" t="s">
        <v>46</v>
      </c>
      <c r="G9" s="12">
        <v>28</v>
      </c>
      <c r="H9" s="15">
        <f t="shared" si="0"/>
        <v>930</v>
      </c>
      <c r="I9" s="15"/>
      <c r="J9" s="15"/>
      <c r="K9" s="15">
        <v>40</v>
      </c>
      <c r="L9" s="17"/>
      <c r="M9" s="16">
        <f t="shared" si="1"/>
        <v>0</v>
      </c>
      <c r="N9" s="15">
        <f t="shared" si="2"/>
        <v>33.214285714285715</v>
      </c>
      <c r="O9" s="15"/>
      <c r="P9" s="15">
        <f t="shared" si="3"/>
        <v>970</v>
      </c>
      <c r="Q9" s="15">
        <f t="shared" si="4"/>
        <v>970</v>
      </c>
    </row>
    <row r="10" spans="1:17" x14ac:dyDescent="0.2">
      <c r="A10" s="7">
        <v>8</v>
      </c>
      <c r="B10" s="8" t="s">
        <v>69</v>
      </c>
      <c r="C10" s="18" t="s">
        <v>90</v>
      </c>
      <c r="D10" s="13">
        <v>44201</v>
      </c>
      <c r="E10" s="11">
        <v>930</v>
      </c>
      <c r="F10" s="7" t="s">
        <v>52</v>
      </c>
      <c r="G10" s="12">
        <v>28</v>
      </c>
      <c r="H10" s="15">
        <f t="shared" si="0"/>
        <v>930</v>
      </c>
      <c r="I10" s="15"/>
      <c r="J10" s="15"/>
      <c r="K10" s="15">
        <v>40</v>
      </c>
      <c r="L10" s="17"/>
      <c r="M10" s="16">
        <f t="shared" si="1"/>
        <v>0</v>
      </c>
      <c r="N10" s="15">
        <f t="shared" si="2"/>
        <v>33.214285714285715</v>
      </c>
      <c r="O10" s="15"/>
      <c r="P10" s="15">
        <f t="shared" si="3"/>
        <v>970</v>
      </c>
      <c r="Q10" s="15">
        <f t="shared" si="4"/>
        <v>970</v>
      </c>
    </row>
    <row r="11" spans="1:17" x14ac:dyDescent="0.2">
      <c r="A11" s="7">
        <v>9</v>
      </c>
      <c r="B11" s="8" t="s">
        <v>75</v>
      </c>
      <c r="C11" s="18" t="s">
        <v>91</v>
      </c>
      <c r="D11" s="13">
        <v>44201</v>
      </c>
      <c r="E11" s="11">
        <v>1000</v>
      </c>
      <c r="F11" s="7" t="s">
        <v>51</v>
      </c>
      <c r="G11" s="12">
        <v>28</v>
      </c>
      <c r="H11" s="15">
        <f t="shared" si="0"/>
        <v>1000</v>
      </c>
      <c r="I11" s="15"/>
      <c r="J11" s="15"/>
      <c r="K11" s="15"/>
      <c r="L11" s="17"/>
      <c r="M11" s="16">
        <f t="shared" si="1"/>
        <v>0</v>
      </c>
      <c r="N11" s="15">
        <f t="shared" si="2"/>
        <v>35.714285714285715</v>
      </c>
      <c r="O11" s="15"/>
      <c r="P11" s="15">
        <f t="shared" si="3"/>
        <v>1000</v>
      </c>
      <c r="Q11" s="15">
        <f t="shared" si="4"/>
        <v>1000</v>
      </c>
    </row>
    <row r="12" spans="1:17" x14ac:dyDescent="0.2">
      <c r="A12" s="7">
        <v>10</v>
      </c>
      <c r="B12" s="8" t="s">
        <v>70</v>
      </c>
      <c r="C12" s="18" t="s">
        <v>92</v>
      </c>
      <c r="D12" s="13">
        <v>44203</v>
      </c>
      <c r="E12" s="11">
        <v>930</v>
      </c>
      <c r="F12" s="7" t="s">
        <v>61</v>
      </c>
      <c r="G12" s="12">
        <v>28</v>
      </c>
      <c r="H12" s="15">
        <f t="shared" si="0"/>
        <v>930</v>
      </c>
      <c r="I12" s="15"/>
      <c r="J12" s="15"/>
      <c r="K12" s="15"/>
      <c r="L12" s="17"/>
      <c r="M12" s="16">
        <f t="shared" si="1"/>
        <v>0</v>
      </c>
      <c r="N12" s="15">
        <f t="shared" si="2"/>
        <v>33.214285714285715</v>
      </c>
      <c r="O12" s="15"/>
      <c r="P12" s="15">
        <f t="shared" si="3"/>
        <v>930</v>
      </c>
      <c r="Q12" s="15">
        <f t="shared" si="4"/>
        <v>930</v>
      </c>
    </row>
    <row r="13" spans="1:17" s="5" customFormat="1" x14ac:dyDescent="0.2">
      <c r="A13" s="20">
        <v>11</v>
      </c>
      <c r="B13" s="21" t="s">
        <v>76</v>
      </c>
      <c r="C13" s="18" t="s">
        <v>93</v>
      </c>
      <c r="D13" s="13">
        <v>44210</v>
      </c>
      <c r="E13" s="22">
        <v>1000</v>
      </c>
      <c r="F13" s="20" t="s">
        <v>49</v>
      </c>
      <c r="G13" s="23">
        <v>28</v>
      </c>
      <c r="H13" s="24">
        <f t="shared" si="0"/>
        <v>1000</v>
      </c>
      <c r="I13" s="24"/>
      <c r="J13" s="24"/>
      <c r="K13" s="24">
        <v>40</v>
      </c>
      <c r="L13" s="25"/>
      <c r="M13" s="26">
        <f>L13*N13</f>
        <v>0</v>
      </c>
      <c r="N13" s="24">
        <f t="shared" si="2"/>
        <v>35.714285714285715</v>
      </c>
      <c r="O13" s="24"/>
      <c r="P13" s="24">
        <f t="shared" si="3"/>
        <v>1040</v>
      </c>
      <c r="Q13" s="24">
        <f t="shared" si="4"/>
        <v>1040</v>
      </c>
    </row>
    <row r="14" spans="1:17" s="5" customFormat="1" x14ac:dyDescent="0.2">
      <c r="A14" s="20">
        <v>12</v>
      </c>
      <c r="B14" s="21" t="s">
        <v>77</v>
      </c>
      <c r="C14" s="18" t="s">
        <v>94</v>
      </c>
      <c r="D14" s="13">
        <v>44211</v>
      </c>
      <c r="E14" s="22">
        <v>1000</v>
      </c>
      <c r="F14" s="20" t="s">
        <v>62</v>
      </c>
      <c r="G14" s="23">
        <v>28</v>
      </c>
      <c r="H14" s="24">
        <f t="shared" si="0"/>
        <v>1000</v>
      </c>
      <c r="I14" s="24"/>
      <c r="J14" s="24"/>
      <c r="K14" s="24"/>
      <c r="L14" s="25"/>
      <c r="M14" s="26">
        <f t="shared" si="1"/>
        <v>0</v>
      </c>
      <c r="N14" s="24">
        <f t="shared" si="2"/>
        <v>35.714285714285715</v>
      </c>
      <c r="O14" s="24"/>
      <c r="P14" s="24">
        <f t="shared" si="3"/>
        <v>1000</v>
      </c>
      <c r="Q14" s="24">
        <f t="shared" si="4"/>
        <v>1000</v>
      </c>
    </row>
    <row r="15" spans="1:17" s="5" customFormat="1" x14ac:dyDescent="0.2">
      <c r="A15" s="20">
        <v>13</v>
      </c>
      <c r="B15" s="21" t="s">
        <v>78</v>
      </c>
      <c r="C15" s="18" t="s">
        <v>95</v>
      </c>
      <c r="D15" s="13">
        <v>44237</v>
      </c>
      <c r="E15" s="22">
        <v>1000</v>
      </c>
      <c r="F15" s="20" t="s">
        <v>63</v>
      </c>
      <c r="G15" s="23">
        <v>28</v>
      </c>
      <c r="H15" s="24">
        <f t="shared" si="0"/>
        <v>1000</v>
      </c>
      <c r="I15" s="24"/>
      <c r="J15" s="24"/>
      <c r="K15" s="24">
        <v>27</v>
      </c>
      <c r="L15" s="25"/>
      <c r="M15" s="26">
        <f t="shared" si="1"/>
        <v>0</v>
      </c>
      <c r="N15" s="24">
        <f t="shared" si="2"/>
        <v>35.714285714285715</v>
      </c>
      <c r="O15" s="24"/>
      <c r="P15" s="24">
        <f t="shared" si="3"/>
        <v>1027</v>
      </c>
      <c r="Q15" s="24">
        <f t="shared" si="4"/>
        <v>1027</v>
      </c>
    </row>
    <row r="16" spans="1:17" s="5" customFormat="1" x14ac:dyDescent="0.2">
      <c r="A16" s="20">
        <v>14</v>
      </c>
      <c r="B16" s="21" t="s">
        <v>79</v>
      </c>
      <c r="C16" s="18" t="s">
        <v>99</v>
      </c>
      <c r="D16" s="13">
        <v>44244</v>
      </c>
      <c r="E16" s="22">
        <v>1250</v>
      </c>
      <c r="F16" s="20" t="s">
        <v>65</v>
      </c>
      <c r="G16" s="23">
        <v>28</v>
      </c>
      <c r="H16" s="24">
        <f t="shared" si="0"/>
        <v>1250</v>
      </c>
      <c r="I16" s="24"/>
      <c r="J16" s="24"/>
      <c r="K16" s="24">
        <v>17</v>
      </c>
      <c r="L16" s="25"/>
      <c r="M16" s="26">
        <f t="shared" si="1"/>
        <v>0</v>
      </c>
      <c r="N16" s="24">
        <f t="shared" si="2"/>
        <v>44.642857142857146</v>
      </c>
      <c r="O16" s="24"/>
      <c r="P16" s="24">
        <f t="shared" si="3"/>
        <v>1267</v>
      </c>
      <c r="Q16" s="24">
        <f t="shared" si="4"/>
        <v>1267</v>
      </c>
    </row>
    <row r="17" spans="1:17" s="5" customFormat="1" x14ac:dyDescent="0.2">
      <c r="A17" s="20">
        <v>15</v>
      </c>
      <c r="B17" s="21" t="s">
        <v>80</v>
      </c>
      <c r="C17" s="18" t="s">
        <v>96</v>
      </c>
      <c r="D17" s="13">
        <v>44249</v>
      </c>
      <c r="E17" s="22">
        <v>1000</v>
      </c>
      <c r="F17" s="20" t="s">
        <v>64</v>
      </c>
      <c r="G17" s="23">
        <v>28</v>
      </c>
      <c r="H17" s="24">
        <f t="shared" si="0"/>
        <v>1000</v>
      </c>
      <c r="I17" s="24"/>
      <c r="J17" s="24"/>
      <c r="K17" s="24">
        <v>10</v>
      </c>
      <c r="L17" s="25"/>
      <c r="M17" s="26">
        <f t="shared" si="1"/>
        <v>0</v>
      </c>
      <c r="N17" s="24">
        <f t="shared" si="2"/>
        <v>35.714285714285715</v>
      </c>
      <c r="O17" s="24"/>
      <c r="P17" s="24">
        <f t="shared" si="3"/>
        <v>1010</v>
      </c>
      <c r="Q17" s="24">
        <f t="shared" si="4"/>
        <v>1010</v>
      </c>
    </row>
    <row r="18" spans="1:17" x14ac:dyDescent="0.2">
      <c r="A18" s="4"/>
      <c r="B18" s="27"/>
      <c r="C18" s="27"/>
      <c r="D18" s="28"/>
      <c r="E18" s="4"/>
      <c r="F18" s="4"/>
      <c r="G18" s="29"/>
      <c r="H18" s="30">
        <f>SUM(H3:H17)</f>
        <v>15935</v>
      </c>
      <c r="I18" s="30">
        <f t="shared" ref="I18:O18" si="5">SUM(I3:I17)</f>
        <v>0</v>
      </c>
      <c r="J18" s="30">
        <f t="shared" si="5"/>
        <v>0</v>
      </c>
      <c r="K18" s="30">
        <f t="shared" si="5"/>
        <v>214</v>
      </c>
      <c r="L18" s="30"/>
      <c r="M18" s="30">
        <f t="shared" si="5"/>
        <v>0</v>
      </c>
      <c r="N18" s="30">
        <f t="shared" si="5"/>
        <v>569.10714285714289</v>
      </c>
      <c r="O18" s="30">
        <f t="shared" si="5"/>
        <v>0</v>
      </c>
      <c r="P18" s="30">
        <f>SUM(P3:P17)</f>
        <v>16149</v>
      </c>
      <c r="Q18" s="30">
        <f>SUM(Q3:Q17)</f>
        <v>16149</v>
      </c>
    </row>
  </sheetData>
  <autoFilter ref="A2:Q2" xr:uid="{00000000-0009-0000-0000-000005000000}"/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Julio 2026</vt:lpstr>
      <vt:lpstr>Descansos Médicos </vt:lpstr>
      <vt:lpstr>Vacaciones</vt:lpstr>
      <vt:lpstr>Hoja1</vt:lpstr>
      <vt:lpstr>Com. Sentinel</vt:lpstr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HP1</dc:creator>
  <cp:lastModifiedBy>ClientePeru 25682</cp:lastModifiedBy>
  <cp:lastPrinted>2023-06-01T15:59:18Z</cp:lastPrinted>
  <dcterms:created xsi:type="dcterms:W3CDTF">2015-01-27T17:16:29Z</dcterms:created>
  <dcterms:modified xsi:type="dcterms:W3CDTF">2026-07-27T20:50:09Z</dcterms:modified>
</cp:coreProperties>
</file>